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er\Consulting\HLC\Workshop\Workshop 5\"/>
    </mc:Choice>
  </mc:AlternateContent>
  <xr:revisionPtr revIDLastSave="0" documentId="11_E6CB6BC616EE54567A4DFEE2944731453E416325" xr6:coauthVersionLast="47" xr6:coauthVersionMax="47" xr10:uidLastSave="{00000000-0000-0000-0000-000000000000}"/>
  <bookViews>
    <workbookView xWindow="-108" yWindow="-108" windowWidth="23256" windowHeight="12456" tabRatio="500" activeTab="2" xr2:uid="{00000000-000D-0000-FFFF-FFFF00000000}"/>
  </bookViews>
  <sheets>
    <sheet name="ReadMe" sheetId="1" r:id="rId1"/>
    <sheet name="Inputs" sheetId="2" r:id="rId2"/>
    <sheet name="Dashboard" sheetId="3" r:id="rId3"/>
    <sheet name="Calculation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13" i="4" l="1"/>
  <c r="D113" i="4"/>
  <c r="C113" i="4"/>
  <c r="E111" i="4"/>
  <c r="D111" i="4"/>
  <c r="C111" i="4"/>
  <c r="E102" i="4"/>
  <c r="D102" i="4"/>
  <c r="C102" i="4"/>
  <c r="E97" i="4"/>
  <c r="D97" i="4"/>
  <c r="C97" i="4"/>
  <c r="E90" i="4"/>
  <c r="D90" i="4"/>
  <c r="C90" i="4"/>
  <c r="C81" i="4"/>
  <c r="H80" i="4"/>
  <c r="E80" i="4"/>
  <c r="D80" i="4"/>
  <c r="F80" i="4" s="1"/>
  <c r="C80" i="4"/>
  <c r="G80" i="4" s="1"/>
  <c r="I80" i="4" s="1"/>
  <c r="B80" i="4"/>
  <c r="H79" i="4"/>
  <c r="E79" i="4"/>
  <c r="D79" i="4"/>
  <c r="F79" i="4" s="1"/>
  <c r="C79" i="4"/>
  <c r="B79" i="4"/>
  <c r="H78" i="4"/>
  <c r="E78" i="4"/>
  <c r="D78" i="4"/>
  <c r="F78" i="4" s="1"/>
  <c r="C78" i="4"/>
  <c r="B78" i="4"/>
  <c r="H77" i="4"/>
  <c r="E77" i="4"/>
  <c r="D77" i="4"/>
  <c r="F77" i="4" s="1"/>
  <c r="C77" i="4"/>
  <c r="B77" i="4"/>
  <c r="H76" i="4"/>
  <c r="E76" i="4"/>
  <c r="D76" i="4"/>
  <c r="F76" i="4" s="1"/>
  <c r="C76" i="4"/>
  <c r="G76" i="4" s="1"/>
  <c r="I76" i="4" s="1"/>
  <c r="B76" i="4"/>
  <c r="H75" i="4"/>
  <c r="E75" i="4"/>
  <c r="D75" i="4"/>
  <c r="F75" i="4" s="1"/>
  <c r="C75" i="4"/>
  <c r="G75" i="4" s="1"/>
  <c r="I75" i="4" s="1"/>
  <c r="B75" i="4"/>
  <c r="H74" i="4"/>
  <c r="E74" i="4"/>
  <c r="D74" i="4"/>
  <c r="F74" i="4" s="1"/>
  <c r="C74" i="4"/>
  <c r="G74" i="4" s="1"/>
  <c r="I74" i="4" s="1"/>
  <c r="B74" i="4"/>
  <c r="H73" i="4"/>
  <c r="E73" i="4"/>
  <c r="D73" i="4"/>
  <c r="F73" i="4" s="1"/>
  <c r="C73" i="4"/>
  <c r="G73" i="4" s="1"/>
  <c r="I73" i="4" s="1"/>
  <c r="B73" i="4"/>
  <c r="H72" i="4"/>
  <c r="E72" i="4"/>
  <c r="D72" i="4"/>
  <c r="F72" i="4" s="1"/>
  <c r="C72" i="4"/>
  <c r="G72" i="4" s="1"/>
  <c r="I72" i="4" s="1"/>
  <c r="B72" i="4"/>
  <c r="H71" i="4"/>
  <c r="E71" i="4"/>
  <c r="D71" i="4"/>
  <c r="F71" i="4" s="1"/>
  <c r="C71" i="4"/>
  <c r="B71" i="4"/>
  <c r="H70" i="4"/>
  <c r="E70" i="4"/>
  <c r="D70" i="4"/>
  <c r="F70" i="4" s="1"/>
  <c r="C70" i="4"/>
  <c r="B70" i="4"/>
  <c r="H69" i="4"/>
  <c r="E69" i="4"/>
  <c r="D69" i="4"/>
  <c r="F69" i="4" s="1"/>
  <c r="C69" i="4"/>
  <c r="B69" i="4"/>
  <c r="H68" i="4"/>
  <c r="E68" i="4"/>
  <c r="D68" i="4"/>
  <c r="F68" i="4" s="1"/>
  <c r="C68" i="4"/>
  <c r="G68" i="4" s="1"/>
  <c r="I68" i="4" s="1"/>
  <c r="B68" i="4"/>
  <c r="H67" i="4"/>
  <c r="E67" i="4"/>
  <c r="D67" i="4"/>
  <c r="F67" i="4" s="1"/>
  <c r="C67" i="4"/>
  <c r="G67" i="4" s="1"/>
  <c r="I67" i="4" s="1"/>
  <c r="B67" i="4"/>
  <c r="H66" i="4"/>
  <c r="H81" i="4" s="1"/>
  <c r="C109" i="4" s="1"/>
  <c r="C28" i="3" s="1"/>
  <c r="E66" i="4"/>
  <c r="D66" i="4"/>
  <c r="F66" i="4" s="1"/>
  <c r="C66" i="4"/>
  <c r="G66" i="4" s="1"/>
  <c r="B66" i="4"/>
  <c r="J60" i="4"/>
  <c r="H60" i="4" s="1"/>
  <c r="I60" i="4"/>
  <c r="G60" i="4"/>
  <c r="D60" i="4"/>
  <c r="C60" i="4"/>
  <c r="E60" i="4" s="1"/>
  <c r="F60" i="4" s="1"/>
  <c r="B60" i="4"/>
  <c r="J59" i="4"/>
  <c r="I59" i="4"/>
  <c r="G59" i="4"/>
  <c r="D59" i="4"/>
  <c r="C59" i="4"/>
  <c r="H59" i="4" s="1"/>
  <c r="B59" i="4"/>
  <c r="J58" i="4"/>
  <c r="G58" i="4"/>
  <c r="D58" i="4"/>
  <c r="I58" i="4" s="1"/>
  <c r="C58" i="4"/>
  <c r="H58" i="4" s="1"/>
  <c r="B58" i="4"/>
  <c r="J57" i="4"/>
  <c r="G57" i="4"/>
  <c r="E57" i="4"/>
  <c r="F57" i="4" s="1"/>
  <c r="D57" i="4"/>
  <c r="I57" i="4" s="1"/>
  <c r="C57" i="4"/>
  <c r="H57" i="4" s="1"/>
  <c r="B57" i="4"/>
  <c r="J56" i="4"/>
  <c r="G56" i="4"/>
  <c r="F56" i="4"/>
  <c r="E56" i="4"/>
  <c r="D56" i="4"/>
  <c r="I56" i="4" s="1"/>
  <c r="C56" i="4"/>
  <c r="H56" i="4" s="1"/>
  <c r="B56" i="4"/>
  <c r="J55" i="4"/>
  <c r="G55" i="4"/>
  <c r="D55" i="4"/>
  <c r="I55" i="4" s="1"/>
  <c r="C55" i="4"/>
  <c r="E55" i="4" s="1"/>
  <c r="F55" i="4" s="1"/>
  <c r="B55" i="4"/>
  <c r="J54" i="4"/>
  <c r="E54" i="4" s="1"/>
  <c r="F54" i="4" s="1"/>
  <c r="H54" i="4"/>
  <c r="G54" i="4"/>
  <c r="D54" i="4"/>
  <c r="I54" i="4" s="1"/>
  <c r="C54" i="4"/>
  <c r="B54" i="4"/>
  <c r="J53" i="4"/>
  <c r="I53" i="4"/>
  <c r="H53" i="4"/>
  <c r="G53" i="4"/>
  <c r="E53" i="4"/>
  <c r="F53" i="4" s="1"/>
  <c r="D53" i="4"/>
  <c r="C53" i="4"/>
  <c r="B53" i="4"/>
  <c r="J52" i="4"/>
  <c r="H52" i="4" s="1"/>
  <c r="I52" i="4"/>
  <c r="G52" i="4"/>
  <c r="D52" i="4"/>
  <c r="C52" i="4"/>
  <c r="E52" i="4" s="1"/>
  <c r="F52" i="4" s="1"/>
  <c r="B52" i="4"/>
  <c r="J51" i="4"/>
  <c r="J61" i="4" s="1"/>
  <c r="E87" i="4" s="1"/>
  <c r="E14" i="3" s="1"/>
  <c r="I51" i="4"/>
  <c r="G51" i="4"/>
  <c r="D51" i="4"/>
  <c r="C51" i="4"/>
  <c r="H51" i="4" s="1"/>
  <c r="B51" i="4"/>
  <c r="J50" i="4"/>
  <c r="G50" i="4"/>
  <c r="D50" i="4"/>
  <c r="I50" i="4" s="1"/>
  <c r="C50" i="4"/>
  <c r="H50" i="4" s="1"/>
  <c r="B50" i="4"/>
  <c r="J49" i="4"/>
  <c r="G49" i="4"/>
  <c r="E49" i="4"/>
  <c r="F49" i="4" s="1"/>
  <c r="D49" i="4"/>
  <c r="I49" i="4" s="1"/>
  <c r="C49" i="4"/>
  <c r="H49" i="4" s="1"/>
  <c r="B49" i="4"/>
  <c r="J48" i="4"/>
  <c r="H48" i="4" s="1"/>
  <c r="G48" i="4"/>
  <c r="F48" i="4"/>
  <c r="E48" i="4"/>
  <c r="D48" i="4"/>
  <c r="I48" i="4" s="1"/>
  <c r="C48" i="4"/>
  <c r="B48" i="4"/>
  <c r="J47" i="4"/>
  <c r="I47" i="4"/>
  <c r="G47" i="4"/>
  <c r="D47" i="4"/>
  <c r="C47" i="4"/>
  <c r="E47" i="4" s="1"/>
  <c r="F47" i="4" s="1"/>
  <c r="B47" i="4"/>
  <c r="J46" i="4"/>
  <c r="H46" i="4"/>
  <c r="G46" i="4"/>
  <c r="D46" i="4"/>
  <c r="D61" i="4" s="1"/>
  <c r="E86" i="4" s="1"/>
  <c r="E13" i="3" s="1"/>
  <c r="C46" i="4"/>
  <c r="E46" i="4" s="1"/>
  <c r="B46" i="4"/>
  <c r="J40" i="4"/>
  <c r="H40" i="4"/>
  <c r="H48" i="3" s="1"/>
  <c r="G40" i="4"/>
  <c r="G48" i="3" s="1"/>
  <c r="D40" i="4"/>
  <c r="I40" i="4" s="1"/>
  <c r="I48" i="3" s="1"/>
  <c r="C40" i="4"/>
  <c r="E40" i="4" s="1"/>
  <c r="B40" i="4"/>
  <c r="J39" i="4"/>
  <c r="I39" i="4"/>
  <c r="I47" i="3" s="1"/>
  <c r="H39" i="4"/>
  <c r="H47" i="3" s="1"/>
  <c r="G39" i="4"/>
  <c r="E39" i="4"/>
  <c r="F39" i="4" s="1"/>
  <c r="F47" i="3" s="1"/>
  <c r="D39" i="4"/>
  <c r="C39" i="4"/>
  <c r="B39" i="4"/>
  <c r="J38" i="4"/>
  <c r="H38" i="4" s="1"/>
  <c r="H46" i="3" s="1"/>
  <c r="I38" i="4"/>
  <c r="I46" i="3" s="1"/>
  <c r="G38" i="4"/>
  <c r="D38" i="4"/>
  <c r="C38" i="4"/>
  <c r="B38" i="4"/>
  <c r="B46" i="3" s="1"/>
  <c r="J37" i="4"/>
  <c r="J45" i="3" s="1"/>
  <c r="I37" i="4"/>
  <c r="G37" i="4"/>
  <c r="D37" i="4"/>
  <c r="C37" i="4"/>
  <c r="H37" i="4" s="1"/>
  <c r="H45" i="3" s="1"/>
  <c r="B37" i="4"/>
  <c r="B45" i="3" s="1"/>
  <c r="J36" i="4"/>
  <c r="G36" i="4"/>
  <c r="D36" i="4"/>
  <c r="I36" i="4" s="1"/>
  <c r="I44" i="3" s="1"/>
  <c r="C36" i="4"/>
  <c r="C44" i="3" s="1"/>
  <c r="B36" i="4"/>
  <c r="J35" i="4"/>
  <c r="G35" i="4"/>
  <c r="E35" i="4"/>
  <c r="F35" i="4" s="1"/>
  <c r="F43" i="3" s="1"/>
  <c r="D35" i="4"/>
  <c r="D43" i="3" s="1"/>
  <c r="C35" i="4"/>
  <c r="H35" i="4" s="1"/>
  <c r="H43" i="3" s="1"/>
  <c r="B35" i="4"/>
  <c r="J34" i="4"/>
  <c r="H34" i="4" s="1"/>
  <c r="H42" i="3" s="1"/>
  <c r="G34" i="4"/>
  <c r="F34" i="4"/>
  <c r="E34" i="4"/>
  <c r="E42" i="3" s="1"/>
  <c r="D34" i="4"/>
  <c r="I34" i="4" s="1"/>
  <c r="I42" i="3" s="1"/>
  <c r="C34" i="4"/>
  <c r="B34" i="4"/>
  <c r="J33" i="4"/>
  <c r="I33" i="4"/>
  <c r="G33" i="4"/>
  <c r="D33" i="4"/>
  <c r="C33" i="4"/>
  <c r="E33" i="4" s="1"/>
  <c r="B33" i="4"/>
  <c r="J32" i="4"/>
  <c r="H32" i="4"/>
  <c r="G32" i="4"/>
  <c r="G40" i="3" s="1"/>
  <c r="D32" i="4"/>
  <c r="I32" i="4" s="1"/>
  <c r="I40" i="3" s="1"/>
  <c r="C32" i="4"/>
  <c r="E32" i="4" s="1"/>
  <c r="B32" i="4"/>
  <c r="J31" i="4"/>
  <c r="I31" i="4"/>
  <c r="H31" i="4"/>
  <c r="H39" i="3" s="1"/>
  <c r="G31" i="4"/>
  <c r="E31" i="4"/>
  <c r="F31" i="4" s="1"/>
  <c r="F39" i="3" s="1"/>
  <c r="D31" i="4"/>
  <c r="C31" i="4"/>
  <c r="B31" i="4"/>
  <c r="J30" i="4"/>
  <c r="H30" i="4" s="1"/>
  <c r="H38" i="3" s="1"/>
  <c r="I30" i="4"/>
  <c r="I38" i="3" s="1"/>
  <c r="G30" i="4"/>
  <c r="D30" i="4"/>
  <c r="C30" i="4"/>
  <c r="B30" i="4"/>
  <c r="J29" i="4"/>
  <c r="J37" i="3" s="1"/>
  <c r="I29" i="4"/>
  <c r="G29" i="4"/>
  <c r="D29" i="4"/>
  <c r="C29" i="4"/>
  <c r="H29" i="4" s="1"/>
  <c r="H37" i="3" s="1"/>
  <c r="B29" i="4"/>
  <c r="B37" i="3" s="1"/>
  <c r="J28" i="4"/>
  <c r="G28" i="4"/>
  <c r="D28" i="4"/>
  <c r="I28" i="4" s="1"/>
  <c r="I36" i="3" s="1"/>
  <c r="C28" i="4"/>
  <c r="C36" i="3" s="1"/>
  <c r="B28" i="4"/>
  <c r="J27" i="4"/>
  <c r="G27" i="4"/>
  <c r="E27" i="4"/>
  <c r="F27" i="4" s="1"/>
  <c r="F35" i="3" s="1"/>
  <c r="D27" i="4"/>
  <c r="D35" i="3" s="1"/>
  <c r="C27" i="4"/>
  <c r="H27" i="4" s="1"/>
  <c r="H35" i="3" s="1"/>
  <c r="B27" i="4"/>
  <c r="J26" i="4"/>
  <c r="H26" i="4" s="1"/>
  <c r="G26" i="4"/>
  <c r="F26" i="4"/>
  <c r="E26" i="4"/>
  <c r="D26" i="4"/>
  <c r="I26" i="4" s="1"/>
  <c r="C26" i="4"/>
  <c r="C41" i="4" s="1"/>
  <c r="B26" i="4"/>
  <c r="J20" i="4"/>
  <c r="H20" i="4" s="1"/>
  <c r="G20" i="4"/>
  <c r="F20" i="4"/>
  <c r="E20" i="4"/>
  <c r="D20" i="4"/>
  <c r="I20" i="4" s="1"/>
  <c r="C20" i="4"/>
  <c r="B20" i="4"/>
  <c r="J19" i="4"/>
  <c r="G19" i="4"/>
  <c r="D19" i="4"/>
  <c r="I19" i="4" s="1"/>
  <c r="C19" i="4"/>
  <c r="E19" i="4" s="1"/>
  <c r="F19" i="4" s="1"/>
  <c r="B19" i="4"/>
  <c r="J18" i="4"/>
  <c r="H18" i="4"/>
  <c r="G18" i="4"/>
  <c r="D18" i="4"/>
  <c r="I18" i="4" s="1"/>
  <c r="C18" i="4"/>
  <c r="E18" i="4" s="1"/>
  <c r="F18" i="4" s="1"/>
  <c r="B18" i="4"/>
  <c r="J17" i="4"/>
  <c r="I17" i="4"/>
  <c r="H17" i="4"/>
  <c r="G17" i="4"/>
  <c r="E17" i="4"/>
  <c r="F17" i="4" s="1"/>
  <c r="D17" i="4"/>
  <c r="C17" i="4"/>
  <c r="B17" i="4"/>
  <c r="J16" i="4"/>
  <c r="H16" i="4" s="1"/>
  <c r="I16" i="4"/>
  <c r="G16" i="4"/>
  <c r="D16" i="4"/>
  <c r="C16" i="4"/>
  <c r="E16" i="4" s="1"/>
  <c r="F16" i="4" s="1"/>
  <c r="B16" i="4"/>
  <c r="J15" i="4"/>
  <c r="I15" i="4"/>
  <c r="G15" i="4"/>
  <c r="D15" i="4"/>
  <c r="C15" i="4"/>
  <c r="H15" i="4" s="1"/>
  <c r="B15" i="4"/>
  <c r="J14" i="4"/>
  <c r="G14" i="4"/>
  <c r="D14" i="4"/>
  <c r="I14" i="4" s="1"/>
  <c r="C14" i="4"/>
  <c r="H14" i="4" s="1"/>
  <c r="B14" i="4"/>
  <c r="J13" i="4"/>
  <c r="G13" i="4"/>
  <c r="E13" i="4"/>
  <c r="F13" i="4" s="1"/>
  <c r="D13" i="4"/>
  <c r="I13" i="4" s="1"/>
  <c r="C13" i="4"/>
  <c r="H13" i="4" s="1"/>
  <c r="B13" i="4"/>
  <c r="J12" i="4"/>
  <c r="H12" i="4" s="1"/>
  <c r="G12" i="4"/>
  <c r="F12" i="4"/>
  <c r="E12" i="4"/>
  <c r="D12" i="4"/>
  <c r="I12" i="4" s="1"/>
  <c r="C12" i="4"/>
  <c r="B12" i="4"/>
  <c r="J11" i="4"/>
  <c r="G11" i="4"/>
  <c r="D11" i="4"/>
  <c r="I11" i="4" s="1"/>
  <c r="C11" i="4"/>
  <c r="E11" i="4" s="1"/>
  <c r="F11" i="4" s="1"/>
  <c r="B11" i="4"/>
  <c r="J10" i="4"/>
  <c r="H10" i="4"/>
  <c r="G10" i="4"/>
  <c r="D10" i="4"/>
  <c r="I10" i="4" s="1"/>
  <c r="C10" i="4"/>
  <c r="E10" i="4" s="1"/>
  <c r="F10" i="4" s="1"/>
  <c r="B10" i="4"/>
  <c r="J9" i="4"/>
  <c r="I9" i="4"/>
  <c r="H9" i="4"/>
  <c r="G9" i="4"/>
  <c r="E9" i="4"/>
  <c r="F9" i="4" s="1"/>
  <c r="D9" i="4"/>
  <c r="C9" i="4"/>
  <c r="B9" i="4"/>
  <c r="J8" i="4"/>
  <c r="H8" i="4" s="1"/>
  <c r="I8" i="4"/>
  <c r="G8" i="4"/>
  <c r="D8" i="4"/>
  <c r="C8" i="4"/>
  <c r="B8" i="4"/>
  <c r="J7" i="4"/>
  <c r="I7" i="4"/>
  <c r="G7" i="4"/>
  <c r="D7" i="4"/>
  <c r="C7" i="4"/>
  <c r="H7" i="4" s="1"/>
  <c r="B7" i="4"/>
  <c r="J6" i="4"/>
  <c r="J21" i="4" s="1"/>
  <c r="C87" i="4" s="1"/>
  <c r="C14" i="3" s="1"/>
  <c r="G6" i="4"/>
  <c r="D6" i="4"/>
  <c r="D21" i="4" s="1"/>
  <c r="C86" i="4" s="1"/>
  <c r="C13" i="3" s="1"/>
  <c r="C6" i="4"/>
  <c r="C21" i="4" s="1"/>
  <c r="B6" i="4"/>
  <c r="C36" i="2"/>
  <c r="C37" i="2" s="1"/>
  <c r="N23" i="2"/>
  <c r="F23" i="2"/>
  <c r="C23" i="2"/>
  <c r="J48" i="3"/>
  <c r="D48" i="3"/>
  <c r="C48" i="3"/>
  <c r="B48" i="3"/>
  <c r="J47" i="3"/>
  <c r="G47" i="3"/>
  <c r="E47" i="3"/>
  <c r="D47" i="3"/>
  <c r="C47" i="3"/>
  <c r="B47" i="3"/>
  <c r="G46" i="3"/>
  <c r="D46" i="3"/>
  <c r="C46" i="3"/>
  <c r="I45" i="3"/>
  <c r="G45" i="3"/>
  <c r="D45" i="3"/>
  <c r="C45" i="3"/>
  <c r="J44" i="3"/>
  <c r="G44" i="3"/>
  <c r="D44" i="3"/>
  <c r="B44" i="3"/>
  <c r="J43" i="3"/>
  <c r="G43" i="3"/>
  <c r="E43" i="3"/>
  <c r="C43" i="3"/>
  <c r="B43" i="3"/>
  <c r="J42" i="3"/>
  <c r="G42" i="3"/>
  <c r="F42" i="3"/>
  <c r="D42" i="3"/>
  <c r="C42" i="3"/>
  <c r="B42" i="3"/>
  <c r="J41" i="3"/>
  <c r="I41" i="3"/>
  <c r="G41" i="3"/>
  <c r="D41" i="3"/>
  <c r="C41" i="3"/>
  <c r="B41" i="3"/>
  <c r="J40" i="3"/>
  <c r="H40" i="3"/>
  <c r="D40" i="3"/>
  <c r="C40" i="3"/>
  <c r="B40" i="3"/>
  <c r="J39" i="3"/>
  <c r="I39" i="3"/>
  <c r="G39" i="3"/>
  <c r="E39" i="3"/>
  <c r="D39" i="3"/>
  <c r="C39" i="3"/>
  <c r="B39" i="3"/>
  <c r="J38" i="3"/>
  <c r="G38" i="3"/>
  <c r="D38" i="3"/>
  <c r="C38" i="3"/>
  <c r="B38" i="3"/>
  <c r="I37" i="3"/>
  <c r="G37" i="3"/>
  <c r="D37" i="3"/>
  <c r="C37" i="3"/>
  <c r="J36" i="3"/>
  <c r="G36" i="3"/>
  <c r="D36" i="3"/>
  <c r="B36" i="3"/>
  <c r="J35" i="3"/>
  <c r="G35" i="3"/>
  <c r="E35" i="3"/>
  <c r="C35" i="3"/>
  <c r="B35" i="3"/>
  <c r="J34" i="3"/>
  <c r="G34" i="3"/>
  <c r="F34" i="3"/>
  <c r="E34" i="3"/>
  <c r="D34" i="3"/>
  <c r="D49" i="3" s="1"/>
  <c r="C34" i="3"/>
  <c r="C49" i="3" s="1"/>
  <c r="B34" i="3"/>
  <c r="C4" i="3"/>
  <c r="H34" i="3" l="1"/>
  <c r="G70" i="4"/>
  <c r="I70" i="4" s="1"/>
  <c r="G78" i="4"/>
  <c r="I78" i="4" s="1"/>
  <c r="F32" i="4"/>
  <c r="F40" i="3" s="1"/>
  <c r="E40" i="3"/>
  <c r="F46" i="4"/>
  <c r="F61" i="4" s="1"/>
  <c r="E89" i="4" s="1"/>
  <c r="F40" i="4"/>
  <c r="F48" i="3" s="1"/>
  <c r="E48" i="3"/>
  <c r="G69" i="4"/>
  <c r="I69" i="4" s="1"/>
  <c r="G77" i="4"/>
  <c r="I77" i="4" s="1"/>
  <c r="E41" i="3"/>
  <c r="F33" i="4"/>
  <c r="F41" i="3" s="1"/>
  <c r="I34" i="3"/>
  <c r="I66" i="4"/>
  <c r="D96" i="4"/>
  <c r="D98" i="4" s="1"/>
  <c r="E96" i="4"/>
  <c r="E98" i="4" s="1"/>
  <c r="C96" i="4"/>
  <c r="C98" i="4" s="1"/>
  <c r="G71" i="4"/>
  <c r="I71" i="4" s="1"/>
  <c r="G79" i="4"/>
  <c r="I79" i="4" s="1"/>
  <c r="J46" i="3"/>
  <c r="J49" i="3" s="1"/>
  <c r="E6" i="4"/>
  <c r="H11" i="4"/>
  <c r="E14" i="4"/>
  <c r="F14" i="4" s="1"/>
  <c r="H19" i="4"/>
  <c r="E28" i="4"/>
  <c r="H33" i="4"/>
  <c r="H41" i="3" s="1"/>
  <c r="E36" i="4"/>
  <c r="J41" i="4"/>
  <c r="D87" i="4" s="1"/>
  <c r="D14" i="3" s="1"/>
  <c r="I46" i="4"/>
  <c r="I61" i="4" s="1"/>
  <c r="E93" i="4" s="1"/>
  <c r="E19" i="3" s="1"/>
  <c r="H47" i="4"/>
  <c r="H61" i="4" s="1"/>
  <c r="E92" i="4" s="1"/>
  <c r="E50" i="4"/>
  <c r="F50" i="4" s="1"/>
  <c r="H55" i="4"/>
  <c r="E58" i="4"/>
  <c r="F58" i="4" s="1"/>
  <c r="C61" i="4"/>
  <c r="D109" i="4"/>
  <c r="E7" i="4"/>
  <c r="F7" i="4" s="1"/>
  <c r="E15" i="4"/>
  <c r="F15" i="4" s="1"/>
  <c r="E29" i="4"/>
  <c r="E37" i="4"/>
  <c r="E51" i="4"/>
  <c r="F51" i="4" s="1"/>
  <c r="E59" i="4"/>
  <c r="F59" i="4" s="1"/>
  <c r="E109" i="4"/>
  <c r="E28" i="3" s="1"/>
  <c r="E8" i="4"/>
  <c r="F8" i="4" s="1"/>
  <c r="E30" i="4"/>
  <c r="E38" i="4"/>
  <c r="H6" i="4"/>
  <c r="H21" i="4" s="1"/>
  <c r="C92" i="4" s="1"/>
  <c r="I27" i="4"/>
  <c r="I35" i="3" s="1"/>
  <c r="H28" i="4"/>
  <c r="H36" i="3" s="1"/>
  <c r="I35" i="4"/>
  <c r="I43" i="3" s="1"/>
  <c r="H36" i="4"/>
  <c r="H44" i="3" s="1"/>
  <c r="D41" i="4"/>
  <c r="D86" i="4" s="1"/>
  <c r="D13" i="3" s="1"/>
  <c r="I6" i="4"/>
  <c r="I21" i="4" s="1"/>
  <c r="C93" i="4" s="1"/>
  <c r="C19" i="3" s="1"/>
  <c r="E18" i="3" l="1"/>
  <c r="E112" i="4"/>
  <c r="E114" i="4" s="1"/>
  <c r="E29" i="3" s="1"/>
  <c r="C112" i="4"/>
  <c r="C114" i="4" s="1"/>
  <c r="C29" i="3" s="1"/>
  <c r="C18" i="3"/>
  <c r="D104" i="4"/>
  <c r="D24" i="3" s="1"/>
  <c r="E7" i="3"/>
  <c r="D21" i="3"/>
  <c r="F38" i="4"/>
  <c r="F46" i="3" s="1"/>
  <c r="E46" i="3"/>
  <c r="F6" i="4"/>
  <c r="F21" i="4" s="1"/>
  <c r="C89" i="4" s="1"/>
  <c r="E21" i="4"/>
  <c r="C88" i="4" s="1"/>
  <c r="C15" i="3" s="1"/>
  <c r="F29" i="4"/>
  <c r="F37" i="3" s="1"/>
  <c r="E37" i="3"/>
  <c r="I81" i="4"/>
  <c r="D28" i="3"/>
  <c r="N7" i="3"/>
  <c r="E44" i="3"/>
  <c r="F36" i="4"/>
  <c r="F44" i="3" s="1"/>
  <c r="G81" i="4"/>
  <c r="I49" i="3"/>
  <c r="F28" i="4"/>
  <c r="E36" i="3"/>
  <c r="E41" i="4"/>
  <c r="D88" i="4" s="1"/>
  <c r="D15" i="3" s="1"/>
  <c r="C104" i="4"/>
  <c r="C24" i="3" s="1"/>
  <c r="C21" i="3"/>
  <c r="I41" i="4"/>
  <c r="D93" i="4" s="1"/>
  <c r="D19" i="3" s="1"/>
  <c r="H41" i="4"/>
  <c r="D92" i="4" s="1"/>
  <c r="E101" i="4"/>
  <c r="E103" i="4" s="1"/>
  <c r="E91" i="4"/>
  <c r="E16" i="3"/>
  <c r="F30" i="4"/>
  <c r="F38" i="3" s="1"/>
  <c r="E38" i="3"/>
  <c r="F37" i="4"/>
  <c r="F45" i="3" s="1"/>
  <c r="E45" i="3"/>
  <c r="E104" i="4"/>
  <c r="E24" i="3" s="1"/>
  <c r="E21" i="3"/>
  <c r="E61" i="4"/>
  <c r="E88" i="4" s="1"/>
  <c r="E15" i="3" s="1"/>
  <c r="H49" i="3"/>
  <c r="E94" i="4" l="1"/>
  <c r="E17" i="3"/>
  <c r="F36" i="3"/>
  <c r="F49" i="3" s="1"/>
  <c r="F41" i="4"/>
  <c r="D89" i="4" s="1"/>
  <c r="E49" i="3"/>
  <c r="E23" i="3"/>
  <c r="E105" i="4"/>
  <c r="E25" i="3" s="1"/>
  <c r="D18" i="3"/>
  <c r="D112" i="4"/>
  <c r="D114" i="4" s="1"/>
  <c r="E107" i="4"/>
  <c r="D107" i="4"/>
  <c r="C107" i="4"/>
  <c r="C101" i="4"/>
  <c r="C103" i="4" s="1"/>
  <c r="C91" i="4"/>
  <c r="C16" i="3"/>
  <c r="C17" i="3" l="1"/>
  <c r="C94" i="4"/>
  <c r="C23" i="3"/>
  <c r="C105" i="4"/>
  <c r="C25" i="3" s="1"/>
  <c r="D101" i="4"/>
  <c r="D103" i="4" s="1"/>
  <c r="D91" i="4"/>
  <c r="D16" i="3"/>
  <c r="E26" i="3"/>
  <c r="E108" i="4"/>
  <c r="E27" i="3" s="1"/>
  <c r="C108" i="4"/>
  <c r="C27" i="3" s="1"/>
  <c r="C26" i="3"/>
  <c r="D108" i="4"/>
  <c r="D27" i="3" s="1"/>
  <c r="D26" i="3"/>
  <c r="Q7" i="3"/>
  <c r="D29" i="3"/>
  <c r="E20" i="3"/>
  <c r="E99" i="4"/>
  <c r="E22" i="3" s="1"/>
  <c r="D94" i="4" l="1"/>
  <c r="D17" i="3"/>
  <c r="D23" i="3"/>
  <c r="D105" i="4"/>
  <c r="C20" i="3"/>
  <c r="C99" i="4"/>
  <c r="C22" i="3" s="1"/>
  <c r="D25" i="3" l="1"/>
  <c r="K7" i="3"/>
  <c r="D20" i="3"/>
  <c r="B7" i="3"/>
  <c r="D99" i="4"/>
  <c r="H7" i="3" l="1"/>
  <c r="D22" i="3"/>
</calcChain>
</file>

<file path=xl/sharedStrings.xml><?xml version="1.0" encoding="utf-8"?>
<sst xmlns="http://schemas.openxmlformats.org/spreadsheetml/2006/main" count="208" uniqueCount="151">
  <si>
    <t>AY 2027-28 Enrollment &amp; Fund What-If Dashboard</t>
  </si>
  <si>
    <t>Built from your uploaded AY 27-28 financials. All figures in ₹ (INR).</t>
  </si>
  <si>
    <t>How to use</t>
  </si>
  <si>
    <t>1. Go to the Inputs tab. Pick a scenario (Pessimistic / Realistic / Optimistic) in the yellow cell at the top — every other sheet updates instantly.</t>
  </si>
  <si>
    <t>2. Every blue number on Inputs is editable — grade-wise new-joiner counts and their per-grade optimistic/pessimistic swing %, contribution % and its swing, fees, expenses, collection efficiency, cost variance, and fund balances.</t>
  </si>
  <si>
    <t>3. The Dashboard tab shows the headline P&amp;L, cash flow and fund position for whichever scenario is selected, plus a side-by-side comparison of all three scenarios and a chart.</t>
  </si>
  <si>
    <t>4. The Calculations tab is the engine — grade-by-grade math for all three scenarios. You normally won't need to edit it; everything you'd want to change lives on Inputs.</t>
  </si>
  <si>
    <t>Key modelling choices</t>
  </si>
  <si>
    <t>- New Joiners are now Max Capacity x Capture %, not a blanket swing. The 'New Joiners' numbers in your source file are actually the school's MAXIMUM SEAT CAPACITY per grade (per your correction) — so Optimistic = filling 100% of that capacity, and Realistic / Pessimistic are each Capacity x a per-grade Capture % (how much of capacity you realistically expect to fill). A bigger capacity number is harder to fully realize (e.g. LKG, and especially AS/Grade 11) on top of AS being the structurally harder grade to convert — both are reflected in lower default Capture % for AS than for Grade I. Every Capture % is editable per grade.</t>
  </si>
  <si>
    <t>- Returnable Contribution % (existing students, to the corpus/building fund) also gets its own pessimistic/optimistic range per grade, as a +/- percentage-point swing on the realistic %.</t>
  </si>
  <si>
    <t>- Contributions from existing students, and (optionally) the Advance from new joiners, are treated as a REFUNDABLE LIABILITY — they hit Cash Inflow and the Fund roll-forward, but are excluded from P&amp;L revenue. No interest is accrued on this balance, matching your note that contributions are returnable without interest.</t>
  </si>
  <si>
    <t>- Whether the Advance from new joiners is returnable or not is a Yes/No toggle on Inputs (default: Yes / returnable) since your brief only confirmed the treatment for existing-student contributions.</t>
  </si>
  <si>
    <t>- Tuition revenue is recognised on an accrual basis in the P&amp;L (Total Students x Base Fee); a Fee Collection Efficiency % (by scenario) is applied only in the cash flow, to reflect real-world collection risk.</t>
  </si>
  <si>
    <t>- Operating expenses are taken from your source file and flexed by a single Cost Variance % per scenario (cost overrun risk in Pessimistic, savings in Optimistic).</t>
  </si>
  <si>
    <t>- To control New Joiners / Contribution % / Dropouts at an overall level (rather than editing all 15 grade rows), use the Swing Multiplier columns in the Scenario overlays table on Inputs (near the bottom, one row per scenario). New Joiners' multiplier scales the Realistic and Pessimistic Capture % together (Optimistic is fixed at 100% of Max Capacity by definition); Contribution % and Dropout multipliers scale the Pessimistic/Optimistic swings as before. Each keeps every grade's relative difficulty intact. Fee Collection Efficiency % and Cost Variance %, in the same table, are a DIFFERENT lever — they only affect how much billed revenue turns into cash and how much of the expense budget is actually spent; they do not move New Joiners, Contribution % or Dropouts (those live on the grade table above, one row per grade).</t>
  </si>
  <si>
    <t>- Base Fee on Inputs is LAST year's fee. 'Fee Increase %' (per grade — 20% for grades II-IX, 0% elsewhere, per your source data) is now actively applied: Tuition Revenue for BOTH existing and new students is billed at Base Fee x (1 + Fee Increase %) in every scenario. Edit Fee Increase % per grade if you decide against raising fees for a particular grade.</t>
  </si>
  <si>
    <t>- Fee-Increase Breakeven analysis (Calculations tab, and summarised on Dashboard): since raising fees is expected to trigger some of the Possible Dropouts above, this section works out, per grade and per scenario, how many existing students could drop out before the fee increase stops paying for itself — i.e. before revenue falls below what you'd have collected with NO fee increase at all. The formula is the standard price/volume identity: Breakeven Dropout % = Fee Increase % / (1 + Fee Increase %). Dashboard shows this as a fixed Breakeven Dropout Threshold (count), your modelled Dropouts for the scenario, the Headroom between them (positive = you can absorb more dropouts than modelled before the increase becomes unprofitable), and the Revenue Impact of the fee increase vs. not raising fees at all, for existing students. This is a decision-support number, not a prediction — it tells you how much cushion the 20% increase has, given your own Dropout assumptions.</t>
  </si>
  <si>
    <t>- Possible Dropouts (existing students who may leave, e.g. because of the fee increase) now reduce Total Students and therefore Tuition Fee Revenue: Total Students = Existing - Possible Dropouts + New Joiners. They also reduce who is asked for a Contribution — that's now based on existing students who are actually staying on (Existing - Dropouts), not the full existing headcount, since a student about to leave presumably isn't asked to make a fresh returnable contribution. Dropouts get the same per-grade Pessimistic/Optimistic Δ% and overall Swing Multiplier treatment as New Joiners and Contribution % (Inputs columns N-P on the grade table, and the 3rd multiplier on the Scenario overlays table) — concentrated by default in the grades that see the 20% fee increase (II-IX); grades with no fee increase (Pre-KG-I) and the senior/board-year grades (X, AS, A2) are modelled as unaffected, per your source data.</t>
  </si>
  <si>
    <t>- The Returnable Fund's Opening Balance and Refunds Paid (Inputs, bottom section) are both locked at ₹0 by default and should stay that way: AY 2027-28 is the FIRST year this returnable contribution is being collected, so there's no prior-year balance and no departing student (Possible Dropouts included) could have contributed before — none are owed a refund yet. Only change these two cells once the fund has run for a year or more.</t>
  </si>
  <si>
    <t>Colour legend</t>
  </si>
  <si>
    <t>Blue text = your editable input</t>
  </si>
  <si>
    <t>Black text = live formula (don't overwrite)</t>
  </si>
  <si>
    <t>Green text = link pulled from another sheet</t>
  </si>
  <si>
    <t>Yellow fill = key scenario / toggle controls</t>
  </si>
  <si>
    <t>Inputs &amp; Assumptions</t>
  </si>
  <si>
    <t>Edit any blue cell. Grades are rows, so each grade can have its own new-joiner / contribution swing (no blanket %).</t>
  </si>
  <si>
    <t>Active Scenario</t>
  </si>
  <si>
    <t>Realistic</t>
  </si>
  <si>
    <t>Treat 'Advance per New Joiner' as returnable (liability), not revenue?</t>
  </si>
  <si>
    <t>Yes</t>
  </si>
  <si>
    <t>Grade-wise enrollment, fee, contribution &amp; dropout assumptions</t>
  </si>
  <si>
    <t>Grade</t>
  </si>
  <si>
    <t>Existing
Students</t>
  </si>
  <si>
    <t>Base Fee
(₹, LAST year's)</t>
  </si>
  <si>
    <t>Fee Increase %
(applied to Base Fee)</t>
  </si>
  <si>
    <t>New Joiners
- Max Capacity
(= Optimistic)</t>
  </si>
  <si>
    <t>New Joiners
Realistic Capture %
(of Max Capacity)</t>
  </si>
  <si>
    <t>New Joiners
Pessimistic Capture %
(of Max Capacity)</t>
  </si>
  <si>
    <t>Contribution %
- Realistic
(existing students)</t>
  </si>
  <si>
    <t>Contribution
Pessimistic Δ (pp)</t>
  </si>
  <si>
    <t>Contribution
Optimistic Δ (pp)</t>
  </si>
  <si>
    <t>Contribution per
Student (₹)</t>
  </si>
  <si>
    <t>Advance per
New Joiner (₹)</t>
  </si>
  <si>
    <t>Possible Dropouts
- Realistic
(existing students)</t>
  </si>
  <si>
    <t>Dropout
Pessimistic Δ%
(more dropouts)</t>
  </si>
  <si>
    <t>Dropout
Optimistic Δ%
(fewer dropouts)</t>
  </si>
  <si>
    <t>Pre-KG</t>
  </si>
  <si>
    <t>LKG</t>
  </si>
  <si>
    <t>UKG</t>
  </si>
  <si>
    <t>I</t>
  </si>
  <si>
    <t>II</t>
  </si>
  <si>
    <t>III</t>
  </si>
  <si>
    <t>IV</t>
  </si>
  <si>
    <t>V</t>
  </si>
  <si>
    <t>VI</t>
  </si>
  <si>
    <t>VII</t>
  </si>
  <si>
    <t>VIII</t>
  </si>
  <si>
    <t>IX</t>
  </si>
  <si>
    <t>X</t>
  </si>
  <si>
    <t>AS</t>
  </si>
  <si>
    <t>A2</t>
  </si>
  <si>
    <t>Total</t>
  </si>
  <si>
    <t>Annual operating expenses (AY 2027-28 budget)</t>
  </si>
  <si>
    <t>Expense item</t>
  </si>
  <si>
    <t>Annual Amount (₹)</t>
  </si>
  <si>
    <t>Teacher salaries</t>
  </si>
  <si>
    <t>Rent</t>
  </si>
  <si>
    <t>Other core operating expenses</t>
  </si>
  <si>
    <t>Cambridge affiliation</t>
  </si>
  <si>
    <t>Safety / essential maintenance</t>
  </si>
  <si>
    <t>Property purchase loan servicing</t>
  </si>
  <si>
    <t>Growth marketing</t>
  </si>
  <si>
    <t>Additional / discretionary maintenance</t>
  </si>
  <si>
    <t>International obligations</t>
  </si>
  <si>
    <t>Miscellaneous Expenses</t>
  </si>
  <si>
    <t>Total Operating Expenses</t>
  </si>
  <si>
    <t>Scenario overlays — overall dials</t>
  </si>
  <si>
    <t>The three Swing Multiplier columns are your single overall control per scenario: raise/lower one number here and every grade's New Joiner / Contribution / Dropout assumption (set on the table above) scales together, in proportion. 1.0 = the per-grade defaults above; 1.5 = 50% more aggressive; 0.5 = half as aggressive. NOTE the New Joiners multiplier is wired differently from the other two: New Joiners is now capacity-based (Optimistic = 100% of Max Capacity, fixed, so its multiplier cell is unused), and the multiplier instead scales the REALISTIC and PESSIMISTIC Capture % — i.e. Realistic's New Joiners multiplier IS active here, unlike Contribution/Dropout where Realistic is the fixed baseline and only Pessimistic/Optimistic scale. Cells with no effect for a given scenario are left white (not yellow) below. Fee Collection Efficiency % and Cost Variance % are a separate, cash/expense-only lever — they do NOT move New Joiners, Contribution % or Dropouts.</t>
  </si>
  <si>
    <t>Scenario</t>
  </si>
  <si>
    <t>Fee Collection
Efficiency %
(cash only)</t>
  </si>
  <si>
    <t>Cost Variance %
(vs. budget)</t>
  </si>
  <si>
    <t>New Joiners Swing
Multiplier (overall)</t>
  </si>
  <si>
    <t>Contribution Swing
Multiplier (overall)</t>
  </si>
  <si>
    <t>Dropout Swing
Multiplier (overall)</t>
  </si>
  <si>
    <t>Pessimistic</t>
  </si>
  <si>
    <t>Optimistic</t>
  </si>
  <si>
    <t>Returnable fund (corpus) balances</t>
  </si>
  <si>
    <t>Opening Balance of Returnable Fund, 1-Apr-2027 (₹) — locked at ₹0: AY 2027-28 is the FIRST year this contribution is being collected, so no prior balance exists.</t>
  </si>
  <si>
    <t>Refunds Paid to Leaving Students during AY 2027-28 (₹) — should also be ₹0: since this is the first year of collection, no departing student (including Possible Dropouts) could have contributed in a prior year, so none are owed a refund yet.</t>
  </si>
  <si>
    <t>AY 2027-28 What-If Dashboard</t>
  </si>
  <si>
    <t>Enrollment, returnable contributions, cash flow &amp; P&amp;L — scenario planning</t>
  </si>
  <si>
    <t>Active Scenario:</t>
  </si>
  <si>
    <t>(change it on the Inputs tab — every number below updates)</t>
  </si>
  <si>
    <t>Total Cash Inflow</t>
  </si>
  <si>
    <t>Total Cash Outflow</t>
  </si>
  <si>
    <t>Net Cash Flow</t>
  </si>
  <si>
    <t>P&amp;L Net Surplus / (Deficit)</t>
  </si>
  <si>
    <t>Revenue Impact of Fee Increase</t>
  </si>
  <si>
    <t>Returnable Fund — Closing Balance</t>
  </si>
  <si>
    <t>Scenario Comparison — P&amp;L &amp; Cash Flow</t>
  </si>
  <si>
    <t>Metric</t>
  </si>
  <si>
    <t>New Joiners (count)</t>
  </si>
  <si>
    <t>Possible Dropouts (count)</t>
  </si>
  <si>
    <t>Total Students</t>
  </si>
  <si>
    <t>Tuition Fee Revenue (₹, accrual)</t>
  </si>
  <si>
    <t>Tuition Fee Cash Collected (₹)</t>
  </si>
  <si>
    <t>Returnable Contribution Collected (₹)</t>
  </si>
  <si>
    <t>Advance from New Joiners Collected (₹)</t>
  </si>
  <si>
    <t>Total Cash Inflow (₹)</t>
  </si>
  <si>
    <t>Total Cash Outflow (₹)</t>
  </si>
  <si>
    <t>Net Cash Flow (₹)</t>
  </si>
  <si>
    <t>P&amp;L Total Revenue (₹)</t>
  </si>
  <si>
    <t>P&amp;L Total Operating Expenses (₹)</t>
  </si>
  <si>
    <t>P&amp;L Net Surplus / (Deficit) (₹)</t>
  </si>
  <si>
    <t>Fee-Increase Breakeven Dropout Threshold (count, fixed)</t>
  </si>
  <si>
    <t>Headroom vs Breakeven Dropouts (count)</t>
  </si>
  <si>
    <t>Revenue Impact of Fee Increase vs No-Increase (₹)</t>
  </si>
  <si>
    <t>Returnable Fund — Closing Balance (₹)</t>
  </si>
  <si>
    <t>Grade-wise Detail — Active Scenario</t>
  </si>
  <si>
    <t>New
Joiners</t>
  </si>
  <si>
    <t>Total
Students</t>
  </si>
  <si>
    <t>Tuition Fee
Revenue (₹)</t>
  </si>
  <si>
    <t>Contribution
%</t>
  </si>
  <si>
    <t>Contribution
Collected (₹)</t>
  </si>
  <si>
    <t>Advance
Collected (₹)</t>
  </si>
  <si>
    <t>Possible
Dropouts</t>
  </si>
  <si>
    <t>Calculations — Scenario Engine</t>
  </si>
  <si>
    <t>Grade-by-grade math for each scenario. Everything here is a formula pulling from Inputs — normally no need to edit.</t>
  </si>
  <si>
    <t>PESSIMISTIC SCENARIO</t>
  </si>
  <si>
    <t>REALISTIC SCENARIO</t>
  </si>
  <si>
    <t>OPTIMISTIC SCENARIO</t>
  </si>
  <si>
    <t>FEE-INCREASE BREAKEVEN (existing students, fixed reference)</t>
  </si>
  <si>
    <t>Fee Increase
%</t>
  </si>
  <si>
    <t>Base Fee
(₹, last year)</t>
  </si>
  <si>
    <t>Breakeven
Dropout %</t>
  </si>
  <si>
    <t>Breakeven
Dropout Count</t>
  </si>
  <si>
    <t>Revenue if Fee
NOT Increased (₹)</t>
  </si>
  <si>
    <t>Revenue at
Breakeven (₹, check)</t>
  </si>
  <si>
    <t>SCENARIO SUMMARY — AY 2027-28</t>
  </si>
  <si>
    <t>Fee Collection Efficiency %</t>
  </si>
  <si>
    <t>Total Operating Expenses — Budget (₹)</t>
  </si>
  <si>
    <t>Cost Variance %</t>
  </si>
  <si>
    <t>P&amp;L — Tuition Fee Revenue (₹)</t>
  </si>
  <si>
    <t>P&amp;L — Advance Revenue (₹, only if not returnable)</t>
  </si>
  <si>
    <t>P&amp;L — Total Revenue (₹)</t>
  </si>
  <si>
    <t>P&amp;L — Total Operating Expenses (₹)</t>
  </si>
  <si>
    <t>P&amp;L — Net Surplus / (Deficit) (₹)</t>
  </si>
  <si>
    <t>Revenue Impact of Fee Increase vs No-Increase (₹, existing students only)</t>
  </si>
  <si>
    <t>Returnable Fund — Opening Balance (₹)</t>
  </si>
  <si>
    <t>Returnable Fund — Additions (₹)</t>
  </si>
  <si>
    <t>Returnable Fund — Refunds Paid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</si>
</sst>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quot;(₹&quot;#,##0\);\-"/>
    <numFmt numFmtId="166" formatCode="0.0%;\(0.0%\);\-"/>
    <numFmt numFmtId="167" formatCode="0.00\x"/>
  </numFmts>
  <fonts count="15" x14ac:knownFonts="1">
    <font>
      <sz val="11"/>
      <color theme="1"/>
      <name val="Calibri"/>
      <family val="2"/>
      <charset val="1"/>
    </font>
    <font>
      <b/>
      <sz val="14"/>
      <color rgb="FF1F3864"/>
      <name val="Arial"/>
      <family val="2"/>
    </font>
    <font>
      <i/>
      <sz val="10"/>
      <color rgb="FF595959"/>
      <name val="Arial"/>
      <family val="2"/>
    </font>
    <font>
      <b/>
      <sz val="11"/>
      <color rgb="FF1F3864"/>
      <name val="Arial"/>
      <family val="2"/>
    </font>
    <font>
      <sz val="10"/>
      <color rgb="FF000000"/>
      <name val="Arial"/>
      <family val="2"/>
    </font>
    <font>
      <sz val="10"/>
      <color rgb="FF0000FF"/>
      <name val="Arial"/>
      <family val="2"/>
    </font>
    <font>
      <sz val="10"/>
      <color rgb="FF008000"/>
      <name val="Arial"/>
      <family val="2"/>
    </font>
    <font>
      <b/>
      <sz val="10"/>
      <color rgb="FF000000"/>
      <name val="Arial"/>
      <family val="2"/>
    </font>
    <font>
      <b/>
      <sz val="11"/>
      <color rgb="FF000000"/>
      <name val="Arial"/>
      <family val="2"/>
    </font>
    <font>
      <b/>
      <sz val="11"/>
      <color rgb="FFFFFFFF"/>
      <name val="Arial"/>
      <family val="2"/>
    </font>
    <font>
      <b/>
      <sz val="9"/>
      <color rgb="FF1F3864"/>
      <name val="Arial"/>
      <family val="2"/>
    </font>
    <font>
      <i/>
      <sz val="8.5"/>
      <color rgb="FF595959"/>
      <name val="Arial"/>
      <family val="2"/>
    </font>
    <font>
      <i/>
      <sz val="9"/>
      <color rgb="FF000000"/>
      <name val="Arial"/>
      <family val="2"/>
    </font>
    <font>
      <b/>
      <sz val="12"/>
      <color rgb="FF1F3864"/>
      <name val="Arial"/>
      <family val="2"/>
    </font>
    <font>
      <b/>
      <sz val="9"/>
      <color rgb="FFFFFFFF"/>
      <name val="Arial"/>
      <family val="2"/>
    </font>
  </fonts>
  <fills count="7">
    <fill>
      <patternFill patternType="none"/>
    </fill>
    <fill>
      <patternFill patternType="gray125"/>
    </fill>
    <fill>
      <patternFill patternType="solid">
        <fgColor rgb="FFFFFF00"/>
        <bgColor rgb="FFFFFF00"/>
      </patternFill>
    </fill>
    <fill>
      <patternFill patternType="solid">
        <fgColor rgb="FF2E5496"/>
        <bgColor rgb="FF1F3864"/>
      </patternFill>
    </fill>
    <fill>
      <patternFill patternType="solid">
        <fgColor rgb="FFD9E1F2"/>
        <bgColor rgb="FFD9D9D9"/>
      </patternFill>
    </fill>
    <fill>
      <patternFill patternType="solid">
        <fgColor rgb="FFF2F2F2"/>
        <bgColor rgb="FFF2F6FC"/>
      </patternFill>
    </fill>
    <fill>
      <patternFill patternType="solid">
        <fgColor rgb="FFF2F6FC"/>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2" fillId="0" borderId="0" xfId="0" applyFont="1" applyAlignment="1">
      <alignment vertical="center" wrapText="1"/>
    </xf>
    <xf numFmtId="0" fontId="11" fillId="0" borderId="0" xfId="0" applyFont="1" applyAlignment="1">
      <alignment vertical="top" wrapText="1"/>
    </xf>
    <xf numFmtId="0" fontId="7" fillId="0" borderId="0" xfId="0" applyFont="1"/>
    <xf numFmtId="0" fontId="6"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9" fillId="3" borderId="0" xfId="0" applyFont="1" applyFill="1"/>
    <xf numFmtId="165" fontId="1" fillId="6" borderId="0" xfId="0" applyNumberFormat="1" applyFont="1" applyFill="1" applyAlignment="1">
      <alignment horizontal="center" vertical="center"/>
    </xf>
    <xf numFmtId="0" fontId="14" fillId="3" borderId="0" xfId="0" applyFont="1" applyFill="1" applyAlignment="1">
      <alignment horizontal="center" wrapText="1"/>
    </xf>
    <xf numFmtId="0" fontId="2" fillId="0" borderId="0" xfId="0" applyFont="1"/>
    <xf numFmtId="0" fontId="13" fillId="2" borderId="0" xfId="0" applyFont="1" applyFill="1" applyAlignment="1">
      <alignment horizontal="center"/>
    </xf>
    <xf numFmtId="0" fontId="1" fillId="0" borderId="0" xfId="0" applyFont="1"/>
    <xf numFmtId="0" fontId="2" fillId="0" borderId="0" xfId="0" applyFont="1"/>
    <xf numFmtId="0" fontId="7" fillId="0" borderId="0" xfId="0" applyFont="1"/>
    <xf numFmtId="0" fontId="8" fillId="2" borderId="1" xfId="0" applyFont="1" applyFill="1" applyBorder="1" applyAlignment="1">
      <alignment horizontal="center"/>
    </xf>
    <xf numFmtId="0" fontId="0" fillId="2" borderId="1" xfId="0" applyFill="1" applyBorder="1" applyAlignment="1">
      <alignment horizontal="center"/>
    </xf>
    <xf numFmtId="0" fontId="10" fillId="4" borderId="1" xfId="0" applyFont="1" applyFill="1" applyBorder="1" applyAlignment="1">
      <alignment horizontal="center" vertical="center" wrapText="1"/>
    </xf>
    <xf numFmtId="0" fontId="7" fillId="0" borderId="1" xfId="0" applyFont="1" applyBorder="1"/>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166" fontId="5" fillId="0" borderId="1" xfId="0" applyNumberFormat="1" applyFont="1" applyBorder="1" applyAlignment="1">
      <alignment horizontal="center"/>
    </xf>
    <xf numFmtId="0" fontId="7" fillId="5" borderId="0" xfId="0" applyFont="1" applyFill="1"/>
    <xf numFmtId="164" fontId="7" fillId="5" borderId="1" xfId="0" applyNumberFormat="1" applyFont="1" applyFill="1" applyBorder="1"/>
    <xf numFmtId="0" fontId="0" fillId="5" borderId="0" xfId="0" applyFill="1"/>
    <xf numFmtId="0" fontId="10" fillId="4" borderId="1" xfId="0" applyFont="1" applyFill="1" applyBorder="1"/>
    <xf numFmtId="0" fontId="4" fillId="0" borderId="1" xfId="0" applyFont="1" applyBorder="1"/>
    <xf numFmtId="165" fontId="5" fillId="0" borderId="1" xfId="0" applyNumberFormat="1" applyFont="1" applyBorder="1"/>
    <xf numFmtId="0" fontId="7" fillId="5" borderId="1" xfId="0" applyFont="1" applyFill="1" applyBorder="1"/>
    <xf numFmtId="165" fontId="7" fillId="5" borderId="1" xfId="0" applyNumberFormat="1" applyFont="1" applyFill="1" applyBorder="1"/>
    <xf numFmtId="0" fontId="10" fillId="4" borderId="1" xfId="0" applyFont="1" applyFill="1" applyBorder="1" applyAlignment="1">
      <alignment horizontal="center" wrapText="1"/>
    </xf>
    <xf numFmtId="167" fontId="5" fillId="2" borderId="1" xfId="0" applyNumberFormat="1" applyFont="1" applyFill="1" applyBorder="1" applyAlignment="1">
      <alignment horizontal="center"/>
    </xf>
    <xf numFmtId="167" fontId="5" fillId="0" borderId="1" xfId="0" applyNumberFormat="1" applyFont="1" applyBorder="1" applyAlignment="1">
      <alignment horizontal="center"/>
    </xf>
    <xf numFmtId="165" fontId="5" fillId="2" borderId="1" xfId="0" applyNumberFormat="1" applyFont="1" applyFill="1" applyBorder="1"/>
    <xf numFmtId="0" fontId="10" fillId="4" borderId="1" xfId="0" applyFont="1" applyFill="1" applyBorder="1" applyAlignment="1">
      <alignment horizontal="center"/>
    </xf>
    <xf numFmtId="164" fontId="6" fillId="0" borderId="1" xfId="0" applyNumberFormat="1" applyFont="1" applyBorder="1" applyAlignment="1">
      <alignment horizontal="center"/>
    </xf>
    <xf numFmtId="165" fontId="6" fillId="0" borderId="1" xfId="0" applyNumberFormat="1" applyFont="1" applyBorder="1" applyAlignment="1">
      <alignment horizontal="center"/>
    </xf>
    <xf numFmtId="165" fontId="6" fillId="5" borderId="1" xfId="0" applyNumberFormat="1" applyFont="1" applyFill="1" applyBorder="1" applyAlignment="1">
      <alignment horizontal="center"/>
    </xf>
    <xf numFmtId="164" fontId="6" fillId="5" borderId="1" xfId="0" applyNumberFormat="1" applyFont="1" applyFill="1" applyBorder="1" applyAlignment="1">
      <alignment horizontal="center"/>
    </xf>
    <xf numFmtId="0" fontId="6" fillId="0" borderId="1" xfId="0" applyFont="1" applyBorder="1" applyAlignment="1">
      <alignment horizontal="left"/>
    </xf>
    <xf numFmtId="166" fontId="6" fillId="0" borderId="1" xfId="0" applyNumberFormat="1" applyFont="1" applyBorder="1" applyAlignment="1">
      <alignment horizontal="center"/>
    </xf>
    <xf numFmtId="164" fontId="7" fillId="5" borderId="1" xfId="0" applyNumberFormat="1" applyFont="1" applyFill="1" applyBorder="1" applyAlignment="1">
      <alignment horizontal="center"/>
    </xf>
    <xf numFmtId="165" fontId="7" fillId="5" borderId="1" xfId="0" applyNumberFormat="1" applyFont="1" applyFill="1" applyBorder="1" applyAlignment="1">
      <alignment horizontal="center"/>
    </xf>
    <xf numFmtId="0" fontId="0" fillId="5" borderId="1" xfId="0" applyFill="1" applyBorder="1"/>
    <xf numFmtId="164" fontId="4" fillId="0" borderId="1" xfId="0" applyNumberFormat="1" applyFont="1" applyBorder="1" applyAlignment="1">
      <alignment horizontal="center"/>
    </xf>
    <xf numFmtId="165" fontId="4" fillId="0" borderId="1" xfId="0" applyNumberFormat="1" applyFont="1" applyBorder="1" applyAlignment="1">
      <alignment horizontal="center"/>
    </xf>
    <xf numFmtId="166" fontId="4" fillId="0" borderId="1" xfId="0" applyNumberFormat="1"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F2F6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9E1F2"/>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Net Cash Flow vs. Net Surplus/(Deficit) by Scenario</a:t>
            </a:r>
          </a:p>
        </c:rich>
      </c:tx>
      <c:overlay val="0"/>
      <c:spPr>
        <a:noFill/>
        <a:ln w="0">
          <a:noFill/>
        </a:ln>
      </c:spPr>
    </c:title>
    <c:autoTitleDeleted val="0"/>
    <c:plotArea>
      <c:layout/>
      <c:barChart>
        <c:barDir val="col"/>
        <c:grouping val="clustered"/>
        <c:varyColors val="0"/>
        <c:ser>
          <c:idx val="0"/>
          <c:order val="0"/>
          <c:tx>
            <c:strRef>
              <c:f>Calculations!$B$99</c:f>
              <c:strCache>
                <c:ptCount val="1"/>
                <c:pt idx="0">
                  <c:v>Net Cash Flow (₹)</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Calculations!$C$99:$E$99</c:f>
              <c:numCache>
                <c:formatCode>\₹#,##0;"(₹"#,##0\);\-</c:formatCode>
                <c:ptCount val="3"/>
                <c:pt idx="0">
                  <c:v>-6985198.8833333254</c:v>
                </c:pt>
                <c:pt idx="1">
                  <c:v>17832681.666666672</c:v>
                </c:pt>
                <c:pt idx="2">
                  <c:v>43338920.033333346</c:v>
                </c:pt>
              </c:numCache>
            </c:numRef>
          </c:val>
          <c:extLst>
            <c:ext xmlns:c16="http://schemas.microsoft.com/office/drawing/2014/chart" uri="{C3380CC4-5D6E-409C-BE32-E72D297353CC}">
              <c16:uniqueId val="{00000000-4922-4E6D-A9D1-62E6DF61CA16}"/>
            </c:ext>
          </c:extLst>
        </c:ser>
        <c:ser>
          <c:idx val="1"/>
          <c:order val="1"/>
          <c:tx>
            <c:strRef>
              <c:f>Calculations!$B$105</c:f>
              <c:strCache>
                <c:ptCount val="1"/>
                <c:pt idx="0">
                  <c:v>P&amp;L — Net Surplus / (Deficit) (₹)</c:v>
                </c:pt>
              </c:strCache>
            </c:strRef>
          </c:tx>
          <c:spPr>
            <a:solidFill>
              <a:srgbClr val="C0504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Calculations!$C$105:$E$105</c:f>
              <c:numCache>
                <c:formatCode>\₹#,##0;"(₹"#,##0\);\-</c:formatCode>
                <c:ptCount val="3"/>
                <c:pt idx="0">
                  <c:v>-6055630.8833333254</c:v>
                </c:pt>
                <c:pt idx="1">
                  <c:v>8069581.6666666716</c:v>
                </c:pt>
                <c:pt idx="2">
                  <c:v>24269790.033333346</c:v>
                </c:pt>
              </c:numCache>
            </c:numRef>
          </c:val>
          <c:extLst>
            <c:ext xmlns:c16="http://schemas.microsoft.com/office/drawing/2014/chart" uri="{C3380CC4-5D6E-409C-BE32-E72D297353CC}">
              <c16:uniqueId val="{00000001-4922-4E6D-A9D1-62E6DF61CA16}"/>
            </c:ext>
          </c:extLst>
        </c:ser>
        <c:dLbls>
          <c:showLegendKey val="0"/>
          <c:showVal val="0"/>
          <c:showCatName val="0"/>
          <c:showSerName val="0"/>
          <c:showPercent val="0"/>
          <c:showBubbleSize val="0"/>
        </c:dLbls>
        <c:gapWidth val="150"/>
        <c:axId val="27463342"/>
        <c:axId val="63928244"/>
      </c:barChart>
      <c:catAx>
        <c:axId val="27463342"/>
        <c:scaling>
          <c:orientation val="minMax"/>
        </c:scaling>
        <c:delete val="0"/>
        <c:axPos val="b"/>
        <c:title>
          <c:tx>
            <c:rich>
              <a:bodyPr rot="0"/>
              <a:lstStyle/>
              <a:p>
                <a:pPr>
                  <a:defRPr sz="1000" b="1" strike="noStrike" spc="-1">
                    <a:solidFill>
                      <a:srgbClr val="000000"/>
                    </a:solidFill>
                    <a:latin typeface="Calibri"/>
                  </a:defRPr>
                </a:pPr>
                <a:r>
                  <a:rPr sz="1000" b="1" strike="noStrike" spc="-1">
                    <a:solidFill>
                      <a:srgbClr val="000000"/>
                    </a:solidFill>
                    <a:latin typeface="Calibri"/>
                  </a:rPr>
                  <a:t>Scenario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928244"/>
        <c:crosses val="autoZero"/>
        <c:auto val="1"/>
        <c:lblAlgn val="ctr"/>
        <c:lblOffset val="100"/>
        <c:noMultiLvlLbl val="0"/>
      </c:catAx>
      <c:valAx>
        <c:axId val="6392824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4633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50</xdr:row>
      <xdr:rowOff>160560</xdr:rowOff>
    </xdr:from>
    <xdr:to>
      <xdr:col>6</xdr:col>
      <xdr:colOff>417960</xdr:colOff>
      <xdr:row>65</xdr:row>
      <xdr:rowOff>182880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L28"/>
  <sheetViews>
    <sheetView showGridLines="0" zoomScaleNormal="100" workbookViewId="0"/>
  </sheetViews>
  <sheetFormatPr defaultColWidth="8.6640625" defaultRowHeight="14.4" x14ac:dyDescent="0.3"/>
  <cols>
    <col min="1" max="1" width="2" customWidth="1"/>
    <col min="2" max="12" width="11" customWidth="1"/>
  </cols>
  <sheetData>
    <row r="2" spans="2:12" ht="17.399999999999999" x14ac:dyDescent="0.3">
      <c r="B2" s="13" t="s">
        <v>0</v>
      </c>
    </row>
    <row r="3" spans="2:12" x14ac:dyDescent="0.3">
      <c r="B3" s="14" t="s">
        <v>1</v>
      </c>
    </row>
    <row r="5" spans="2:12" ht="15" customHeight="1" x14ac:dyDescent="0.3">
      <c r="B5" s="7" t="s">
        <v>2</v>
      </c>
      <c r="C5" s="7"/>
      <c r="D5" s="7"/>
      <c r="E5" s="7"/>
      <c r="F5" s="7"/>
      <c r="G5" s="7"/>
      <c r="H5" s="7"/>
      <c r="I5" s="7"/>
      <c r="J5" s="7"/>
      <c r="K5" s="7"/>
      <c r="L5" s="7"/>
    </row>
    <row r="6" spans="2:12" ht="27.75" customHeight="1" x14ac:dyDescent="0.3">
      <c r="B6" s="6" t="s">
        <v>3</v>
      </c>
      <c r="C6" s="6"/>
      <c r="D6" s="6"/>
      <c r="E6" s="6"/>
      <c r="F6" s="6"/>
      <c r="G6" s="6"/>
      <c r="H6" s="6"/>
      <c r="I6" s="6"/>
      <c r="J6" s="6"/>
      <c r="K6" s="6"/>
      <c r="L6" s="6"/>
    </row>
    <row r="7" spans="2:12" ht="27.75" customHeight="1" x14ac:dyDescent="0.3">
      <c r="B7" s="6" t="s">
        <v>4</v>
      </c>
      <c r="C7" s="6"/>
      <c r="D7" s="6"/>
      <c r="E7" s="6"/>
      <c r="F7" s="6"/>
      <c r="G7" s="6"/>
      <c r="H7" s="6"/>
      <c r="I7" s="6"/>
      <c r="J7" s="6"/>
      <c r="K7" s="6"/>
      <c r="L7" s="6"/>
    </row>
    <row r="8" spans="2:12" ht="27.75" customHeight="1" x14ac:dyDescent="0.3">
      <c r="B8" s="6" t="s">
        <v>5</v>
      </c>
      <c r="C8" s="6"/>
      <c r="D8" s="6"/>
      <c r="E8" s="6"/>
      <c r="F8" s="6"/>
      <c r="G8" s="6"/>
      <c r="H8" s="6"/>
      <c r="I8" s="6"/>
      <c r="J8" s="6"/>
      <c r="K8" s="6"/>
      <c r="L8" s="6"/>
    </row>
    <row r="9" spans="2:12" ht="27.75" customHeight="1" x14ac:dyDescent="0.3">
      <c r="B9" s="6" t="s">
        <v>6</v>
      </c>
      <c r="C9" s="6"/>
      <c r="D9" s="6"/>
      <c r="E9" s="6"/>
      <c r="F9" s="6"/>
      <c r="G9" s="6"/>
      <c r="H9" s="6"/>
      <c r="I9" s="6"/>
      <c r="J9" s="6"/>
      <c r="K9" s="6"/>
      <c r="L9" s="6"/>
    </row>
    <row r="10" spans="2:12" ht="15" customHeight="1" x14ac:dyDescent="0.3">
      <c r="B10" s="6"/>
      <c r="C10" s="6"/>
      <c r="D10" s="6"/>
      <c r="E10" s="6"/>
      <c r="F10" s="6"/>
      <c r="G10" s="6"/>
      <c r="H10" s="6"/>
      <c r="I10" s="6"/>
      <c r="J10" s="6"/>
      <c r="K10" s="6"/>
      <c r="L10" s="6"/>
    </row>
    <row r="11" spans="2:12" ht="15" customHeight="1" x14ac:dyDescent="0.3">
      <c r="B11" s="7" t="s">
        <v>7</v>
      </c>
      <c r="C11" s="7"/>
      <c r="D11" s="7"/>
      <c r="E11" s="7"/>
      <c r="F11" s="7"/>
      <c r="G11" s="7"/>
      <c r="H11" s="7"/>
      <c r="I11" s="7"/>
      <c r="J11" s="7"/>
      <c r="K11" s="7"/>
      <c r="L11" s="7"/>
    </row>
    <row r="12" spans="2:12" ht="27.75" customHeight="1" x14ac:dyDescent="0.3">
      <c r="B12" s="6" t="s">
        <v>8</v>
      </c>
      <c r="C12" s="6"/>
      <c r="D12" s="6"/>
      <c r="E12" s="6"/>
      <c r="F12" s="6"/>
      <c r="G12" s="6"/>
      <c r="H12" s="6"/>
      <c r="I12" s="6"/>
      <c r="J12" s="6"/>
      <c r="K12" s="6"/>
      <c r="L12" s="6"/>
    </row>
    <row r="13" spans="2:12" ht="27.75" customHeight="1" x14ac:dyDescent="0.3">
      <c r="B13" s="6" t="s">
        <v>9</v>
      </c>
      <c r="C13" s="6"/>
      <c r="D13" s="6"/>
      <c r="E13" s="6"/>
      <c r="F13" s="6"/>
      <c r="G13" s="6"/>
      <c r="H13" s="6"/>
      <c r="I13" s="6"/>
      <c r="J13" s="6"/>
      <c r="K13" s="6"/>
      <c r="L13" s="6"/>
    </row>
    <row r="14" spans="2:12" ht="27.75" customHeight="1" x14ac:dyDescent="0.3">
      <c r="B14" s="6" t="s">
        <v>10</v>
      </c>
      <c r="C14" s="6"/>
      <c r="D14" s="6"/>
      <c r="E14" s="6"/>
      <c r="F14" s="6"/>
      <c r="G14" s="6"/>
      <c r="H14" s="6"/>
      <c r="I14" s="6"/>
      <c r="J14" s="6"/>
      <c r="K14" s="6"/>
      <c r="L14" s="6"/>
    </row>
    <row r="15" spans="2:12" ht="27.75" customHeight="1" x14ac:dyDescent="0.3">
      <c r="B15" s="6" t="s">
        <v>11</v>
      </c>
      <c r="C15" s="6"/>
      <c r="D15" s="6"/>
      <c r="E15" s="6"/>
      <c r="F15" s="6"/>
      <c r="G15" s="6"/>
      <c r="H15" s="6"/>
      <c r="I15" s="6"/>
      <c r="J15" s="6"/>
      <c r="K15" s="6"/>
      <c r="L15" s="6"/>
    </row>
    <row r="16" spans="2:12" ht="27.75" customHeight="1" x14ac:dyDescent="0.3">
      <c r="B16" s="6" t="s">
        <v>12</v>
      </c>
      <c r="C16" s="6"/>
      <c r="D16" s="6"/>
      <c r="E16" s="6"/>
      <c r="F16" s="6"/>
      <c r="G16" s="6"/>
      <c r="H16" s="6"/>
      <c r="I16" s="6"/>
      <c r="J16" s="6"/>
      <c r="K16" s="6"/>
      <c r="L16" s="6"/>
    </row>
    <row r="17" spans="2:12" ht="27.75" customHeight="1" x14ac:dyDescent="0.3">
      <c r="B17" s="6" t="s">
        <v>13</v>
      </c>
      <c r="C17" s="6"/>
      <c r="D17" s="6"/>
      <c r="E17" s="6"/>
      <c r="F17" s="6"/>
      <c r="G17" s="6"/>
      <c r="H17" s="6"/>
      <c r="I17" s="6"/>
      <c r="J17" s="6"/>
      <c r="K17" s="6"/>
      <c r="L17" s="6"/>
    </row>
    <row r="18" spans="2:12" ht="27.75" customHeight="1" x14ac:dyDescent="0.3">
      <c r="B18" s="6" t="s">
        <v>14</v>
      </c>
      <c r="C18" s="6"/>
      <c r="D18" s="6"/>
      <c r="E18" s="6"/>
      <c r="F18" s="6"/>
      <c r="G18" s="6"/>
      <c r="H18" s="6"/>
      <c r="I18" s="6"/>
      <c r="J18" s="6"/>
      <c r="K18" s="6"/>
      <c r="L18" s="6"/>
    </row>
    <row r="19" spans="2:12" ht="27.75" customHeight="1" x14ac:dyDescent="0.3">
      <c r="B19" s="6" t="s">
        <v>15</v>
      </c>
      <c r="C19" s="6"/>
      <c r="D19" s="6"/>
      <c r="E19" s="6"/>
      <c r="F19" s="6"/>
      <c r="G19" s="6"/>
      <c r="H19" s="6"/>
      <c r="I19" s="6"/>
      <c r="J19" s="6"/>
      <c r="K19" s="6"/>
      <c r="L19" s="6"/>
    </row>
    <row r="20" spans="2:12" ht="27.75" customHeight="1" x14ac:dyDescent="0.3">
      <c r="B20" s="6" t="s">
        <v>16</v>
      </c>
      <c r="C20" s="6"/>
      <c r="D20" s="6"/>
      <c r="E20" s="6"/>
      <c r="F20" s="6"/>
      <c r="G20" s="6"/>
      <c r="H20" s="6"/>
      <c r="I20" s="6"/>
      <c r="J20" s="6"/>
      <c r="K20" s="6"/>
      <c r="L20" s="6"/>
    </row>
    <row r="21" spans="2:12" ht="27.75" customHeight="1" x14ac:dyDescent="0.3">
      <c r="B21" s="6" t="s">
        <v>17</v>
      </c>
      <c r="C21" s="6"/>
      <c r="D21" s="6"/>
      <c r="E21" s="6"/>
      <c r="F21" s="6"/>
      <c r="G21" s="6"/>
      <c r="H21" s="6"/>
      <c r="I21" s="6"/>
      <c r="J21" s="6"/>
      <c r="K21" s="6"/>
      <c r="L21" s="6"/>
    </row>
    <row r="22" spans="2:12" ht="27.75" customHeight="1" x14ac:dyDescent="0.3">
      <c r="B22" s="6" t="s">
        <v>18</v>
      </c>
      <c r="C22" s="6"/>
      <c r="D22" s="6"/>
      <c r="E22" s="6"/>
      <c r="F22" s="6"/>
      <c r="G22" s="6"/>
      <c r="H22" s="6"/>
      <c r="I22" s="6"/>
      <c r="J22" s="6"/>
      <c r="K22" s="6"/>
      <c r="L22" s="6"/>
    </row>
    <row r="23" spans="2:12" ht="15" customHeight="1" x14ac:dyDescent="0.3">
      <c r="B23" s="6"/>
      <c r="C23" s="6"/>
      <c r="D23" s="6"/>
      <c r="E23" s="6"/>
      <c r="F23" s="6"/>
      <c r="G23" s="6"/>
      <c r="H23" s="6"/>
      <c r="I23" s="6"/>
      <c r="J23" s="6"/>
      <c r="K23" s="6"/>
      <c r="L23" s="6"/>
    </row>
    <row r="24" spans="2:12" ht="15" customHeight="1" x14ac:dyDescent="0.3">
      <c r="B24" s="7" t="s">
        <v>19</v>
      </c>
      <c r="C24" s="7"/>
      <c r="D24" s="7"/>
      <c r="E24" s="7"/>
      <c r="F24" s="7"/>
      <c r="G24" s="7"/>
      <c r="H24" s="7"/>
      <c r="I24" s="7"/>
      <c r="J24" s="7"/>
      <c r="K24" s="7"/>
      <c r="L24" s="7"/>
    </row>
    <row r="25" spans="2:12" ht="15" customHeight="1" x14ac:dyDescent="0.3">
      <c r="B25" s="5" t="s">
        <v>20</v>
      </c>
      <c r="C25" s="5"/>
      <c r="D25" s="5"/>
      <c r="E25" s="5"/>
      <c r="F25" s="5"/>
      <c r="G25" s="5"/>
      <c r="H25" s="5"/>
      <c r="I25" s="5"/>
      <c r="J25" s="5"/>
      <c r="K25" s="5"/>
      <c r="L25" s="5"/>
    </row>
    <row r="26" spans="2:12" ht="15" customHeight="1" x14ac:dyDescent="0.3">
      <c r="B26" s="6" t="s">
        <v>21</v>
      </c>
      <c r="C26" s="6"/>
      <c r="D26" s="6"/>
      <c r="E26" s="6"/>
      <c r="F26" s="6"/>
      <c r="G26" s="6"/>
      <c r="H26" s="6"/>
      <c r="I26" s="6"/>
      <c r="J26" s="6"/>
      <c r="K26" s="6"/>
      <c r="L26" s="6"/>
    </row>
    <row r="27" spans="2:12" ht="15" customHeight="1" x14ac:dyDescent="0.3">
      <c r="B27" s="4" t="s">
        <v>22</v>
      </c>
      <c r="C27" s="4"/>
      <c r="D27" s="4"/>
      <c r="E27" s="4"/>
      <c r="F27" s="4"/>
      <c r="G27" s="4"/>
      <c r="H27" s="4"/>
      <c r="I27" s="4"/>
      <c r="J27" s="4"/>
      <c r="K27" s="4"/>
      <c r="L27" s="4"/>
    </row>
    <row r="28" spans="2:12" ht="15" customHeight="1" x14ac:dyDescent="0.3">
      <c r="B28" s="6" t="s">
        <v>23</v>
      </c>
      <c r="C28" s="6"/>
      <c r="D28" s="6"/>
      <c r="E28" s="6"/>
      <c r="F28" s="6"/>
      <c r="G28" s="6"/>
      <c r="H28" s="6"/>
      <c r="I28" s="6"/>
      <c r="J28" s="6"/>
      <c r="K28" s="6"/>
      <c r="L28" s="6"/>
    </row>
  </sheetData>
  <mergeCells count="24">
    <mergeCell ref="B25:L25"/>
    <mergeCell ref="B26:L26"/>
    <mergeCell ref="B27:L27"/>
    <mergeCell ref="B28:L28"/>
    <mergeCell ref="B20:L20"/>
    <mergeCell ref="B21:L21"/>
    <mergeCell ref="B22:L22"/>
    <mergeCell ref="B23:L23"/>
    <mergeCell ref="B24:L24"/>
    <mergeCell ref="B15:L15"/>
    <mergeCell ref="B16:L16"/>
    <mergeCell ref="B17:L17"/>
    <mergeCell ref="B18:L18"/>
    <mergeCell ref="B19:L19"/>
    <mergeCell ref="B10:L10"/>
    <mergeCell ref="B11:L11"/>
    <mergeCell ref="B12:L12"/>
    <mergeCell ref="B13:L13"/>
    <mergeCell ref="B14:L14"/>
    <mergeCell ref="B5:L5"/>
    <mergeCell ref="B6:L6"/>
    <mergeCell ref="B7:L7"/>
    <mergeCell ref="B8:L8"/>
    <mergeCell ref="B9:L9"/>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P48"/>
  <sheetViews>
    <sheetView showGridLines="0" zoomScaleNormal="100" workbookViewId="0"/>
  </sheetViews>
  <sheetFormatPr defaultColWidth="8.6640625" defaultRowHeight="14.4" x14ac:dyDescent="0.3"/>
  <cols>
    <col min="2" max="2" width="30" customWidth="1"/>
    <col min="3" max="11" width="12" customWidth="1"/>
    <col min="12" max="16" width="13" customWidth="1"/>
  </cols>
  <sheetData>
    <row r="1" spans="2:16" ht="17.399999999999999" x14ac:dyDescent="0.3">
      <c r="B1" s="13" t="s">
        <v>24</v>
      </c>
    </row>
    <row r="2" spans="2:16" x14ac:dyDescent="0.3">
      <c r="B2" s="14" t="s">
        <v>25</v>
      </c>
    </row>
    <row r="4" spans="2:16" x14ac:dyDescent="0.3">
      <c r="B4" s="15" t="s">
        <v>26</v>
      </c>
      <c r="C4" s="16" t="s">
        <v>27</v>
      </c>
      <c r="E4" s="3" t="s">
        <v>28</v>
      </c>
      <c r="F4" s="3"/>
      <c r="G4" s="3"/>
      <c r="H4" s="3"/>
      <c r="I4" s="3"/>
      <c r="J4" s="17" t="s">
        <v>29</v>
      </c>
    </row>
    <row r="6" spans="2:16" x14ac:dyDescent="0.3">
      <c r="B6" s="8" t="s">
        <v>30</v>
      </c>
      <c r="C6" s="8"/>
      <c r="D6" s="8"/>
      <c r="E6" s="8"/>
      <c r="F6" s="8"/>
      <c r="G6" s="8"/>
      <c r="H6" s="8"/>
      <c r="I6" s="8"/>
      <c r="J6" s="8"/>
      <c r="K6" s="8"/>
      <c r="L6" s="8"/>
      <c r="M6" s="8"/>
      <c r="N6" s="8"/>
      <c r="O6" s="8"/>
      <c r="P6" s="8"/>
    </row>
    <row r="7" spans="2:16" ht="42" customHeight="1" x14ac:dyDescent="0.3">
      <c r="B7" s="18" t="s">
        <v>31</v>
      </c>
      <c r="C7" s="18" t="s">
        <v>32</v>
      </c>
      <c r="D7" s="18" t="s">
        <v>33</v>
      </c>
      <c r="E7" s="18" t="s">
        <v>34</v>
      </c>
      <c r="F7" s="18" t="s">
        <v>35</v>
      </c>
      <c r="G7" s="18" t="s">
        <v>36</v>
      </c>
      <c r="H7" s="18" t="s">
        <v>37</v>
      </c>
      <c r="I7" s="18" t="s">
        <v>38</v>
      </c>
      <c r="J7" s="18" t="s">
        <v>39</v>
      </c>
      <c r="K7" s="18" t="s">
        <v>40</v>
      </c>
      <c r="L7" s="18" t="s">
        <v>41</v>
      </c>
      <c r="M7" s="18" t="s">
        <v>42</v>
      </c>
      <c r="N7" s="18" t="s">
        <v>43</v>
      </c>
      <c r="O7" s="18" t="s">
        <v>44</v>
      </c>
      <c r="P7" s="18" t="s">
        <v>45</v>
      </c>
    </row>
    <row r="8" spans="2:16" x14ac:dyDescent="0.3">
      <c r="B8" s="19" t="s">
        <v>46</v>
      </c>
      <c r="C8" s="20">
        <v>0</v>
      </c>
      <c r="D8" s="21"/>
      <c r="E8" s="22"/>
      <c r="F8" s="20">
        <v>0</v>
      </c>
      <c r="G8" s="22">
        <v>0.7</v>
      </c>
      <c r="H8" s="22">
        <v>0.5</v>
      </c>
      <c r="I8" s="22"/>
      <c r="J8" s="22">
        <v>0</v>
      </c>
      <c r="K8" s="22">
        <v>0</v>
      </c>
      <c r="L8" s="21"/>
      <c r="M8" s="21"/>
      <c r="N8" s="20">
        <v>0</v>
      </c>
      <c r="O8" s="22">
        <v>0</v>
      </c>
      <c r="P8" s="22">
        <v>0</v>
      </c>
    </row>
    <row r="9" spans="2:16" x14ac:dyDescent="0.3">
      <c r="B9" s="19" t="s">
        <v>47</v>
      </c>
      <c r="C9" s="20">
        <v>4</v>
      </c>
      <c r="D9" s="21">
        <v>210000</v>
      </c>
      <c r="E9" s="22">
        <v>0</v>
      </c>
      <c r="F9" s="20">
        <v>26</v>
      </c>
      <c r="G9" s="22">
        <v>0.7</v>
      </c>
      <c r="H9" s="22">
        <v>0.5</v>
      </c>
      <c r="I9" s="22">
        <v>0</v>
      </c>
      <c r="J9" s="22">
        <v>0</v>
      </c>
      <c r="K9" s="22">
        <v>0</v>
      </c>
      <c r="L9" s="21"/>
      <c r="M9" s="21">
        <v>100000</v>
      </c>
      <c r="N9" s="20">
        <v>0</v>
      </c>
      <c r="O9" s="22">
        <v>0</v>
      </c>
      <c r="P9" s="22">
        <v>0</v>
      </c>
    </row>
    <row r="10" spans="2:16" x14ac:dyDescent="0.3">
      <c r="B10" s="19" t="s">
        <v>48</v>
      </c>
      <c r="C10" s="20">
        <v>15</v>
      </c>
      <c r="D10" s="21">
        <v>201000</v>
      </c>
      <c r="E10" s="22">
        <v>0</v>
      </c>
      <c r="F10" s="20">
        <v>15</v>
      </c>
      <c r="G10" s="22">
        <v>0.75</v>
      </c>
      <c r="H10" s="22">
        <v>0.55000000000000004</v>
      </c>
      <c r="I10" s="22">
        <v>0</v>
      </c>
      <c r="J10" s="22">
        <v>0</v>
      </c>
      <c r="K10" s="22">
        <v>0</v>
      </c>
      <c r="L10" s="21"/>
      <c r="M10" s="21">
        <v>100000</v>
      </c>
      <c r="N10" s="20">
        <v>0</v>
      </c>
      <c r="O10" s="22">
        <v>0</v>
      </c>
      <c r="P10" s="22">
        <v>0</v>
      </c>
    </row>
    <row r="11" spans="2:16" x14ac:dyDescent="0.3">
      <c r="B11" s="19" t="s">
        <v>49</v>
      </c>
      <c r="C11" s="20">
        <v>23</v>
      </c>
      <c r="D11" s="21">
        <v>217000</v>
      </c>
      <c r="E11" s="22">
        <v>0</v>
      </c>
      <c r="F11" s="20">
        <v>14</v>
      </c>
      <c r="G11" s="22">
        <v>0.8</v>
      </c>
      <c r="H11" s="22">
        <v>0.6</v>
      </c>
      <c r="I11" s="22">
        <v>0</v>
      </c>
      <c r="J11" s="22">
        <v>0</v>
      </c>
      <c r="K11" s="22">
        <v>0</v>
      </c>
      <c r="L11" s="21"/>
      <c r="M11" s="21">
        <v>100000</v>
      </c>
      <c r="N11" s="20">
        <v>0</v>
      </c>
      <c r="O11" s="22">
        <v>0</v>
      </c>
      <c r="P11" s="22">
        <v>0</v>
      </c>
    </row>
    <row r="12" spans="2:16" x14ac:dyDescent="0.3">
      <c r="B12" s="19" t="s">
        <v>50</v>
      </c>
      <c r="C12" s="20">
        <v>33</v>
      </c>
      <c r="D12" s="21">
        <v>217000</v>
      </c>
      <c r="E12" s="22">
        <v>0.2</v>
      </c>
      <c r="F12" s="20">
        <v>0</v>
      </c>
      <c r="G12" s="22">
        <v>0.7</v>
      </c>
      <c r="H12" s="22">
        <v>0.5</v>
      </c>
      <c r="I12" s="22">
        <v>0</v>
      </c>
      <c r="J12" s="22">
        <v>0</v>
      </c>
      <c r="K12" s="22">
        <v>0</v>
      </c>
      <c r="L12" s="21"/>
      <c r="M12" s="21">
        <v>100000</v>
      </c>
      <c r="N12" s="20">
        <v>5</v>
      </c>
      <c r="O12" s="22">
        <v>0.5</v>
      </c>
      <c r="P12" s="22">
        <v>-0.4</v>
      </c>
    </row>
    <row r="13" spans="2:16" x14ac:dyDescent="0.3">
      <c r="B13" s="19" t="s">
        <v>51</v>
      </c>
      <c r="C13" s="20">
        <v>34</v>
      </c>
      <c r="D13" s="21">
        <v>227000</v>
      </c>
      <c r="E13" s="22">
        <v>0.2</v>
      </c>
      <c r="F13" s="20">
        <v>0</v>
      </c>
      <c r="G13" s="22">
        <v>0.7</v>
      </c>
      <c r="H13" s="22">
        <v>0.5</v>
      </c>
      <c r="I13" s="22">
        <v>0</v>
      </c>
      <c r="J13" s="22">
        <v>0</v>
      </c>
      <c r="K13" s="22">
        <v>0</v>
      </c>
      <c r="L13" s="21"/>
      <c r="M13" s="21">
        <v>100000</v>
      </c>
      <c r="N13" s="20">
        <v>5</v>
      </c>
      <c r="O13" s="22">
        <v>0.5</v>
      </c>
      <c r="P13" s="22">
        <v>-0.4</v>
      </c>
    </row>
    <row r="14" spans="2:16" x14ac:dyDescent="0.3">
      <c r="B14" s="19" t="s">
        <v>52</v>
      </c>
      <c r="C14" s="20">
        <v>32</v>
      </c>
      <c r="D14" s="21">
        <v>232000</v>
      </c>
      <c r="E14" s="22">
        <v>0.2</v>
      </c>
      <c r="F14" s="20">
        <v>0</v>
      </c>
      <c r="G14" s="22">
        <v>0.7</v>
      </c>
      <c r="H14" s="22">
        <v>0.5</v>
      </c>
      <c r="I14" s="22">
        <v>0</v>
      </c>
      <c r="J14" s="22">
        <v>0</v>
      </c>
      <c r="K14" s="22">
        <v>0</v>
      </c>
      <c r="L14" s="21"/>
      <c r="M14" s="21">
        <v>100000</v>
      </c>
      <c r="N14" s="20">
        <v>5</v>
      </c>
      <c r="O14" s="22">
        <v>0.5</v>
      </c>
      <c r="P14" s="22">
        <v>-0.4</v>
      </c>
    </row>
    <row r="15" spans="2:16" x14ac:dyDescent="0.3">
      <c r="B15" s="19" t="s">
        <v>53</v>
      </c>
      <c r="C15" s="20">
        <v>31</v>
      </c>
      <c r="D15" s="21">
        <v>254000</v>
      </c>
      <c r="E15" s="22">
        <v>0.2</v>
      </c>
      <c r="F15" s="20">
        <v>1</v>
      </c>
      <c r="G15" s="22">
        <v>0.7</v>
      </c>
      <c r="H15" s="22">
        <v>0.5</v>
      </c>
      <c r="I15" s="22">
        <v>0</v>
      </c>
      <c r="J15" s="22">
        <v>0</v>
      </c>
      <c r="K15" s="22">
        <v>0</v>
      </c>
      <c r="L15" s="21"/>
      <c r="M15" s="21">
        <v>100000</v>
      </c>
      <c r="N15" s="20">
        <v>5</v>
      </c>
      <c r="O15" s="22">
        <v>0.5</v>
      </c>
      <c r="P15" s="22">
        <v>-0.4</v>
      </c>
    </row>
    <row r="16" spans="2:16" x14ac:dyDescent="0.3">
      <c r="B16" s="19" t="s">
        <v>54</v>
      </c>
      <c r="C16" s="20">
        <v>31</v>
      </c>
      <c r="D16" s="21">
        <v>270000</v>
      </c>
      <c r="E16" s="22">
        <v>0.2</v>
      </c>
      <c r="F16" s="20">
        <v>1</v>
      </c>
      <c r="G16" s="22">
        <v>0.7</v>
      </c>
      <c r="H16" s="22">
        <v>0.5</v>
      </c>
      <c r="I16" s="22">
        <v>0.2</v>
      </c>
      <c r="J16" s="22">
        <v>-0.1</v>
      </c>
      <c r="K16" s="22">
        <v>0.1</v>
      </c>
      <c r="L16" s="21">
        <v>200000</v>
      </c>
      <c r="M16" s="21">
        <v>100000</v>
      </c>
      <c r="N16" s="20">
        <v>3</v>
      </c>
      <c r="O16" s="22">
        <v>0.5</v>
      </c>
      <c r="P16" s="22">
        <v>-0.4</v>
      </c>
    </row>
    <row r="17" spans="2:16" x14ac:dyDescent="0.3">
      <c r="B17" s="19" t="s">
        <v>55</v>
      </c>
      <c r="C17" s="20">
        <v>27</v>
      </c>
      <c r="D17" s="21">
        <v>288000</v>
      </c>
      <c r="E17" s="22">
        <v>0.2</v>
      </c>
      <c r="F17" s="20">
        <v>3</v>
      </c>
      <c r="G17" s="22">
        <v>0.7</v>
      </c>
      <c r="H17" s="22">
        <v>0.5</v>
      </c>
      <c r="I17" s="22">
        <v>0.2</v>
      </c>
      <c r="J17" s="22">
        <v>-0.1</v>
      </c>
      <c r="K17" s="22">
        <v>0.1</v>
      </c>
      <c r="L17" s="21">
        <v>200000</v>
      </c>
      <c r="M17" s="21">
        <v>100000</v>
      </c>
      <c r="N17" s="20">
        <v>2</v>
      </c>
      <c r="O17" s="22">
        <v>0.5</v>
      </c>
      <c r="P17" s="22">
        <v>-0.4</v>
      </c>
    </row>
    <row r="18" spans="2:16" x14ac:dyDescent="0.3">
      <c r="B18" s="19" t="s">
        <v>56</v>
      </c>
      <c r="C18" s="20">
        <v>25</v>
      </c>
      <c r="D18" s="21">
        <v>304000</v>
      </c>
      <c r="E18" s="22">
        <v>0.2</v>
      </c>
      <c r="F18" s="20">
        <v>5</v>
      </c>
      <c r="G18" s="22">
        <v>0.65</v>
      </c>
      <c r="H18" s="22">
        <v>0.45</v>
      </c>
      <c r="I18" s="22">
        <v>0.3</v>
      </c>
      <c r="J18" s="22">
        <v>-0.1</v>
      </c>
      <c r="K18" s="22">
        <v>0.1</v>
      </c>
      <c r="L18" s="21">
        <v>200000</v>
      </c>
      <c r="M18" s="21">
        <v>100000</v>
      </c>
      <c r="N18" s="20">
        <v>2</v>
      </c>
      <c r="O18" s="22">
        <v>0.5</v>
      </c>
      <c r="P18" s="22">
        <v>-0.4</v>
      </c>
    </row>
    <row r="19" spans="2:16" x14ac:dyDescent="0.3">
      <c r="B19" s="19" t="s">
        <v>57</v>
      </c>
      <c r="C19" s="20">
        <v>26</v>
      </c>
      <c r="D19" s="21">
        <v>319000</v>
      </c>
      <c r="E19" s="22">
        <v>0.2</v>
      </c>
      <c r="F19" s="20">
        <v>4</v>
      </c>
      <c r="G19" s="22">
        <v>0.65</v>
      </c>
      <c r="H19" s="22">
        <v>0.45</v>
      </c>
      <c r="I19" s="22">
        <v>0.3</v>
      </c>
      <c r="J19" s="22">
        <v>-0.1</v>
      </c>
      <c r="K19" s="22">
        <v>0.1</v>
      </c>
      <c r="L19" s="21">
        <v>200000</v>
      </c>
      <c r="M19" s="21">
        <v>100000</v>
      </c>
      <c r="N19" s="20">
        <v>1</v>
      </c>
      <c r="O19" s="22">
        <v>0.5</v>
      </c>
      <c r="P19" s="22">
        <v>-0.4</v>
      </c>
    </row>
    <row r="20" spans="2:16" x14ac:dyDescent="0.3">
      <c r="B20" s="19" t="s">
        <v>58</v>
      </c>
      <c r="C20" s="20">
        <v>30</v>
      </c>
      <c r="D20" s="21">
        <v>332000</v>
      </c>
      <c r="E20" s="22">
        <v>0.2</v>
      </c>
      <c r="F20" s="20">
        <v>0</v>
      </c>
      <c r="G20" s="22">
        <v>0.7</v>
      </c>
      <c r="H20" s="22">
        <v>0.5</v>
      </c>
      <c r="I20" s="22">
        <v>0.2</v>
      </c>
      <c r="J20" s="22">
        <v>-0.1</v>
      </c>
      <c r="K20" s="22">
        <v>0.1</v>
      </c>
      <c r="L20" s="21">
        <v>200000</v>
      </c>
      <c r="M20" s="21">
        <v>100000</v>
      </c>
      <c r="N20" s="20">
        <v>0</v>
      </c>
      <c r="O20" s="22">
        <v>0</v>
      </c>
      <c r="P20" s="22">
        <v>0</v>
      </c>
    </row>
    <row r="21" spans="2:16" x14ac:dyDescent="0.3">
      <c r="B21" s="19" t="s">
        <v>59</v>
      </c>
      <c r="C21" s="20">
        <v>26</v>
      </c>
      <c r="D21" s="21">
        <v>294000</v>
      </c>
      <c r="E21" s="22">
        <v>0.2</v>
      </c>
      <c r="F21" s="20">
        <v>34</v>
      </c>
      <c r="G21" s="22">
        <v>0.5</v>
      </c>
      <c r="H21" s="22">
        <v>0.3</v>
      </c>
      <c r="I21" s="22">
        <v>0.1</v>
      </c>
      <c r="J21" s="22">
        <v>-0.1</v>
      </c>
      <c r="K21" s="22">
        <v>0.1</v>
      </c>
      <c r="L21" s="21">
        <v>200000</v>
      </c>
      <c r="M21" s="21">
        <v>100000</v>
      </c>
      <c r="N21" s="20">
        <v>0</v>
      </c>
      <c r="O21" s="22">
        <v>0</v>
      </c>
      <c r="P21" s="22">
        <v>0</v>
      </c>
    </row>
    <row r="22" spans="2:16" x14ac:dyDescent="0.3">
      <c r="B22" s="19" t="s">
        <v>60</v>
      </c>
      <c r="C22" s="20">
        <v>29</v>
      </c>
      <c r="D22" s="21">
        <v>306000</v>
      </c>
      <c r="E22" s="22">
        <v>0.2</v>
      </c>
      <c r="F22" s="20">
        <v>1</v>
      </c>
      <c r="G22" s="22">
        <v>0.7</v>
      </c>
      <c r="H22" s="22">
        <v>0.5</v>
      </c>
      <c r="I22" s="22">
        <v>0</v>
      </c>
      <c r="J22" s="22">
        <v>0</v>
      </c>
      <c r="K22" s="22">
        <v>0</v>
      </c>
      <c r="L22" s="21"/>
      <c r="M22" s="21">
        <v>100000</v>
      </c>
      <c r="N22" s="20">
        <v>0</v>
      </c>
      <c r="O22" s="22">
        <v>0</v>
      </c>
      <c r="P22" s="22">
        <v>0</v>
      </c>
    </row>
    <row r="23" spans="2:16" x14ac:dyDescent="0.3">
      <c r="B23" s="23" t="s">
        <v>61</v>
      </c>
      <c r="C23" s="24">
        <f>SUM(C8:C22)</f>
        <v>366</v>
      </c>
      <c r="D23" s="25"/>
      <c r="E23" s="25"/>
      <c r="F23" s="24">
        <f>SUM(F8:F22)</f>
        <v>104</v>
      </c>
      <c r="G23" s="25"/>
      <c r="H23" s="25"/>
      <c r="I23" s="25"/>
      <c r="J23" s="25"/>
      <c r="K23" s="25"/>
      <c r="L23" s="25"/>
      <c r="M23" s="25"/>
      <c r="N23" s="24">
        <f>SUM(N8:N22)</f>
        <v>28</v>
      </c>
      <c r="O23" s="25"/>
      <c r="P23" s="25"/>
    </row>
    <row r="25" spans="2:16" x14ac:dyDescent="0.3">
      <c r="B25" s="8" t="s">
        <v>62</v>
      </c>
      <c r="C25" s="8"/>
      <c r="D25" s="8"/>
      <c r="E25" s="8"/>
      <c r="F25" s="8"/>
      <c r="G25" s="8"/>
      <c r="H25" s="8"/>
      <c r="I25" s="8"/>
      <c r="J25" s="8"/>
      <c r="K25" s="8"/>
      <c r="L25" s="8"/>
      <c r="M25" s="8"/>
      <c r="N25" s="8"/>
      <c r="O25" s="8"/>
      <c r="P25" s="8"/>
    </row>
    <row r="26" spans="2:16" x14ac:dyDescent="0.3">
      <c r="B26" s="26" t="s">
        <v>63</v>
      </c>
      <c r="C26" s="26" t="s">
        <v>64</v>
      </c>
    </row>
    <row r="27" spans="2:16" x14ac:dyDescent="0.3">
      <c r="B27" s="27" t="s">
        <v>65</v>
      </c>
      <c r="C27" s="28">
        <v>57969300</v>
      </c>
    </row>
    <row r="28" spans="2:16" x14ac:dyDescent="0.3">
      <c r="B28" s="27" t="s">
        <v>66</v>
      </c>
      <c r="C28" s="28">
        <v>2750000</v>
      </c>
    </row>
    <row r="29" spans="2:16" x14ac:dyDescent="0.3">
      <c r="B29" s="27" t="s">
        <v>67</v>
      </c>
      <c r="C29" s="28">
        <v>24347100</v>
      </c>
    </row>
    <row r="30" spans="2:16" x14ac:dyDescent="0.3">
      <c r="B30" s="27" t="s">
        <v>68</v>
      </c>
      <c r="C30" s="28">
        <v>1069196</v>
      </c>
    </row>
    <row r="31" spans="2:16" x14ac:dyDescent="0.3">
      <c r="B31" s="27" t="s">
        <v>69</v>
      </c>
      <c r="C31" s="28">
        <v>2500000</v>
      </c>
    </row>
    <row r="32" spans="2:16" x14ac:dyDescent="0.3">
      <c r="B32" s="27" t="s">
        <v>70</v>
      </c>
      <c r="C32" s="28">
        <v>13045454</v>
      </c>
    </row>
    <row r="33" spans="2:16" x14ac:dyDescent="0.3">
      <c r="B33" s="27" t="s">
        <v>71</v>
      </c>
      <c r="C33" s="28">
        <v>5000000</v>
      </c>
    </row>
    <row r="34" spans="2:16" x14ac:dyDescent="0.3">
      <c r="B34" s="27" t="s">
        <v>72</v>
      </c>
      <c r="C34" s="28">
        <v>2500000</v>
      </c>
    </row>
    <row r="35" spans="2:16" x14ac:dyDescent="0.3">
      <c r="B35" s="27" t="s">
        <v>73</v>
      </c>
      <c r="C35" s="28">
        <v>4200000</v>
      </c>
    </row>
    <row r="36" spans="2:16" x14ac:dyDescent="0.3">
      <c r="B36" s="27" t="s">
        <v>74</v>
      </c>
      <c r="C36" s="28">
        <f>11338105/3</f>
        <v>3779368.3333333335</v>
      </c>
    </row>
    <row r="37" spans="2:16" x14ac:dyDescent="0.3">
      <c r="B37" s="29" t="s">
        <v>75</v>
      </c>
      <c r="C37" s="30">
        <f>SUM(C27:C36)</f>
        <v>117160418.33333333</v>
      </c>
    </row>
    <row r="39" spans="2:16" x14ac:dyDescent="0.3">
      <c r="B39" s="8" t="s">
        <v>76</v>
      </c>
      <c r="C39" s="8"/>
      <c r="D39" s="8"/>
      <c r="E39" s="8"/>
      <c r="F39" s="8"/>
      <c r="G39" s="8"/>
      <c r="H39" s="8"/>
      <c r="I39" s="8"/>
      <c r="J39" s="8"/>
      <c r="K39" s="8"/>
      <c r="L39" s="8"/>
      <c r="M39" s="8"/>
      <c r="N39" s="8"/>
      <c r="O39" s="8"/>
      <c r="P39" s="8"/>
    </row>
    <row r="40" spans="2:16" ht="61.5" customHeight="1" x14ac:dyDescent="0.3">
      <c r="B40" s="2" t="s">
        <v>77</v>
      </c>
      <c r="C40" s="2"/>
      <c r="D40" s="2"/>
      <c r="E40" s="2"/>
      <c r="F40" s="2"/>
      <c r="G40" s="2"/>
      <c r="H40" s="2"/>
      <c r="I40" s="2"/>
      <c r="J40" s="2"/>
      <c r="K40" s="2"/>
      <c r="L40" s="2"/>
      <c r="M40" s="2"/>
      <c r="N40" s="2"/>
      <c r="O40" s="2"/>
      <c r="P40" s="2"/>
    </row>
    <row r="41" spans="2:16" ht="33.75" customHeight="1" x14ac:dyDescent="0.3">
      <c r="B41" s="31" t="s">
        <v>78</v>
      </c>
      <c r="C41" s="31" t="s">
        <v>79</v>
      </c>
      <c r="D41" s="31" t="s">
        <v>80</v>
      </c>
      <c r="E41" s="31" t="s">
        <v>81</v>
      </c>
      <c r="F41" s="31" t="s">
        <v>82</v>
      </c>
      <c r="G41" s="31" t="s">
        <v>83</v>
      </c>
    </row>
    <row r="42" spans="2:16" x14ac:dyDescent="0.3">
      <c r="B42" s="19" t="s">
        <v>84</v>
      </c>
      <c r="C42" s="22">
        <v>0.92</v>
      </c>
      <c r="D42" s="22">
        <v>0.03</v>
      </c>
      <c r="E42" s="32">
        <v>1</v>
      </c>
      <c r="F42" s="32">
        <v>1</v>
      </c>
      <c r="G42" s="32">
        <v>1</v>
      </c>
    </row>
    <row r="43" spans="2:16" x14ac:dyDescent="0.3">
      <c r="B43" s="19" t="s">
        <v>27</v>
      </c>
      <c r="C43" s="22">
        <v>0.97</v>
      </c>
      <c r="D43" s="22">
        <v>0</v>
      </c>
      <c r="E43" s="32">
        <v>1</v>
      </c>
      <c r="F43" s="33">
        <v>1</v>
      </c>
      <c r="G43" s="33">
        <v>1</v>
      </c>
    </row>
    <row r="44" spans="2:16" x14ac:dyDescent="0.3">
      <c r="B44" s="19" t="s">
        <v>85</v>
      </c>
      <c r="C44" s="22">
        <v>0.99</v>
      </c>
      <c r="D44" s="22">
        <v>-0.02</v>
      </c>
      <c r="E44" s="33">
        <v>1</v>
      </c>
      <c r="F44" s="32">
        <v>1</v>
      </c>
      <c r="G44" s="32">
        <v>1</v>
      </c>
    </row>
    <row r="46" spans="2:16" x14ac:dyDescent="0.3">
      <c r="B46" s="8" t="s">
        <v>86</v>
      </c>
      <c r="C46" s="8"/>
      <c r="D46" s="8"/>
      <c r="E46" s="8"/>
      <c r="F46" s="8"/>
      <c r="G46" s="8"/>
      <c r="H46" s="8"/>
      <c r="I46" s="8"/>
      <c r="J46" s="8"/>
      <c r="K46" s="8"/>
      <c r="L46" s="8"/>
      <c r="M46" s="8"/>
      <c r="N46" s="8"/>
      <c r="O46" s="8"/>
      <c r="P46" s="8"/>
    </row>
    <row r="47" spans="2:16" ht="27.75" customHeight="1" x14ac:dyDescent="0.3">
      <c r="B47" s="1" t="s">
        <v>87</v>
      </c>
      <c r="C47" s="1"/>
      <c r="D47" s="1"/>
      <c r="E47" s="1"/>
      <c r="F47" s="34">
        <v>0</v>
      </c>
    </row>
    <row r="48" spans="2:16" ht="27.75" customHeight="1" x14ac:dyDescent="0.3">
      <c r="B48" s="1" t="s">
        <v>88</v>
      </c>
      <c r="C48" s="1"/>
      <c r="D48" s="1"/>
      <c r="E48" s="1"/>
      <c r="F48" s="34">
        <v>0</v>
      </c>
    </row>
  </sheetData>
  <mergeCells count="8">
    <mergeCell ref="B46:P46"/>
    <mergeCell ref="B47:E47"/>
    <mergeCell ref="B48:E48"/>
    <mergeCell ref="E4:I4"/>
    <mergeCell ref="B6:P6"/>
    <mergeCell ref="B25:P25"/>
    <mergeCell ref="B39:P39"/>
    <mergeCell ref="B40:P40"/>
  </mergeCells>
  <dataValidations count="2">
    <dataValidation type="list" sqref="C4" xr:uid="{00000000-0002-0000-0100-000000000000}">
      <formula1>"Pessimistic,Realistic,Optimistic"</formula1>
      <formula2>0</formula2>
    </dataValidation>
    <dataValidation type="list" sqref="J4" xr:uid="{00000000-0002-0000-0100-000001000000}">
      <formula1>"Yes,No"</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S49"/>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G15" sqref="G15"/>
    </sheetView>
  </sheetViews>
  <sheetFormatPr defaultColWidth="8.6640625" defaultRowHeight="14.4" x14ac:dyDescent="0.3"/>
  <cols>
    <col min="2" max="2" width="30" customWidth="1"/>
    <col min="3" max="9" width="14" customWidth="1"/>
    <col min="10" max="10" width="12" customWidth="1"/>
    <col min="11" max="11" width="14" customWidth="1"/>
    <col min="12" max="13" width="3" customWidth="1"/>
    <col min="14" max="15" width="14" customWidth="1"/>
    <col min="16" max="16" width="3" customWidth="1"/>
    <col min="17" max="17" width="14" customWidth="1"/>
    <col min="18" max="19" width="3" customWidth="1"/>
  </cols>
  <sheetData>
    <row r="1" spans="2:19" ht="17.399999999999999" x14ac:dyDescent="0.3">
      <c r="B1" s="13" t="s">
        <v>89</v>
      </c>
    </row>
    <row r="2" spans="2:19" x14ac:dyDescent="0.3">
      <c r="B2" s="14" t="s">
        <v>90</v>
      </c>
    </row>
    <row r="4" spans="2:19" ht="15.6" x14ac:dyDescent="0.3">
      <c r="B4" s="15" t="s">
        <v>91</v>
      </c>
      <c r="C4" s="12" t="str">
        <f>Inputs!$C$4</f>
        <v>Realistic</v>
      </c>
      <c r="D4" s="12"/>
      <c r="E4" s="11" t="s">
        <v>92</v>
      </c>
      <c r="F4" s="11"/>
      <c r="G4" s="11"/>
      <c r="H4" s="11"/>
      <c r="I4" s="11"/>
      <c r="J4" s="11"/>
      <c r="K4" s="11"/>
    </row>
    <row r="6" spans="2:19" ht="25.5" customHeight="1" x14ac:dyDescent="0.3">
      <c r="B6" s="10" t="s">
        <v>93</v>
      </c>
      <c r="C6" s="10"/>
      <c r="D6" s="10"/>
      <c r="E6" s="10" t="s">
        <v>94</v>
      </c>
      <c r="F6" s="10"/>
      <c r="G6" s="10"/>
      <c r="H6" s="10" t="s">
        <v>95</v>
      </c>
      <c r="I6" s="10"/>
      <c r="J6" s="10"/>
      <c r="K6" s="10" t="s">
        <v>96</v>
      </c>
      <c r="L6" s="10"/>
      <c r="M6" s="10"/>
      <c r="N6" s="10" t="s">
        <v>97</v>
      </c>
      <c r="O6" s="10"/>
      <c r="P6" s="10"/>
      <c r="Q6" s="10" t="s">
        <v>98</v>
      </c>
      <c r="R6" s="10"/>
      <c r="S6" s="10"/>
    </row>
    <row r="7" spans="2:19" x14ac:dyDescent="0.3">
      <c r="B7" s="9">
        <f>CHOOSE(MATCH(Inputs!$C$4,{"Pessimistic","Realistic","Optimistic"},0),Calculations!C94,Calculations!D94,Calculations!E94)</f>
        <v>134993100</v>
      </c>
      <c r="C7" s="9"/>
      <c r="D7" s="9"/>
      <c r="E7" s="9">
        <f>CHOOSE(MATCH(Inputs!$C$4,{"Pessimistic","Realistic","Optimistic"},0),Calculations!C98,Calculations!D98,Calculations!E98)</f>
        <v>117160418.33333333</v>
      </c>
      <c r="F7" s="9"/>
      <c r="G7" s="9"/>
      <c r="H7" s="9">
        <f>CHOOSE(MATCH(Inputs!$C$4,{"Pessimistic","Realistic","Optimistic"},0),Calculations!C99,Calculations!D99,Calculations!E99)</f>
        <v>17832681.666666672</v>
      </c>
      <c r="I7" s="9"/>
      <c r="J7" s="9"/>
      <c r="K7" s="9">
        <f>CHOOSE(MATCH(Inputs!$C$4,{"Pessimistic","Realistic","Optimistic"},0),Calculations!C105,Calculations!D105,Calculations!E105)</f>
        <v>8069581.6666666716</v>
      </c>
      <c r="L7" s="9"/>
      <c r="M7" s="9"/>
      <c r="N7" s="9">
        <f>CHOOSE(MATCH(Inputs!$C$4,{"Pessimistic","Realistic","Optimistic"},0),Calculations!C109,Calculations!D109,Calculations!E109)</f>
        <v>9383400</v>
      </c>
      <c r="O7" s="9"/>
      <c r="P7" s="9"/>
      <c r="Q7" s="9">
        <f>CHOOSE(MATCH(Inputs!$C$4,{"Pessimistic","Realistic","Optimistic"},0),Calculations!C114,Calculations!D114,Calculations!E114)</f>
        <v>13520000</v>
      </c>
      <c r="R7" s="9"/>
      <c r="S7" s="9"/>
    </row>
    <row r="8" spans="2:19" ht="21.75" customHeight="1" x14ac:dyDescent="0.3">
      <c r="B8" s="9"/>
      <c r="C8" s="9"/>
      <c r="D8" s="9"/>
      <c r="E8" s="9"/>
      <c r="F8" s="9"/>
      <c r="G8" s="9"/>
      <c r="H8" s="9"/>
      <c r="I8" s="9"/>
      <c r="J8" s="9"/>
      <c r="K8" s="9"/>
      <c r="L8" s="9"/>
      <c r="M8" s="9"/>
      <c r="N8" s="9"/>
      <c r="O8" s="9"/>
      <c r="P8" s="9"/>
      <c r="Q8" s="9"/>
      <c r="R8" s="9"/>
      <c r="S8" s="9"/>
    </row>
    <row r="11" spans="2:19" x14ac:dyDescent="0.3">
      <c r="B11" s="8" t="s">
        <v>99</v>
      </c>
      <c r="C11" s="8"/>
      <c r="D11" s="8"/>
      <c r="E11" s="8"/>
    </row>
    <row r="12" spans="2:19" x14ac:dyDescent="0.3">
      <c r="B12" s="35" t="s">
        <v>100</v>
      </c>
      <c r="C12" s="35" t="s">
        <v>84</v>
      </c>
      <c r="D12" s="35" t="s">
        <v>27</v>
      </c>
      <c r="E12" s="35" t="s">
        <v>85</v>
      </c>
    </row>
    <row r="13" spans="2:19" x14ac:dyDescent="0.3">
      <c r="B13" s="27" t="s">
        <v>101</v>
      </c>
      <c r="C13" s="36">
        <f>Calculations!C86</f>
        <v>48</v>
      </c>
      <c r="D13" s="36">
        <f>Calculations!D86</f>
        <v>68</v>
      </c>
      <c r="E13" s="36">
        <f>Calculations!E86</f>
        <v>104</v>
      </c>
    </row>
    <row r="14" spans="2:19" x14ac:dyDescent="0.3">
      <c r="B14" s="27" t="s">
        <v>102</v>
      </c>
      <c r="C14" s="36">
        <f>Calculations!C87</f>
        <v>45</v>
      </c>
      <c r="D14" s="36">
        <f>Calculations!D87</f>
        <v>28</v>
      </c>
      <c r="E14" s="36">
        <f>Calculations!E87</f>
        <v>17</v>
      </c>
    </row>
    <row r="15" spans="2:19" x14ac:dyDescent="0.3">
      <c r="B15" s="27" t="s">
        <v>103</v>
      </c>
      <c r="C15" s="36">
        <f>Calculations!C88</f>
        <v>369</v>
      </c>
      <c r="D15" s="36">
        <f>Calculations!D88</f>
        <v>406</v>
      </c>
      <c r="E15" s="36">
        <f>Calculations!E88</f>
        <v>453</v>
      </c>
    </row>
    <row r="16" spans="2:19" x14ac:dyDescent="0.3">
      <c r="B16" s="27" t="s">
        <v>104</v>
      </c>
      <c r="C16" s="37">
        <f>Calculations!C89</f>
        <v>114619600</v>
      </c>
      <c r="D16" s="37">
        <f>Calculations!D89</f>
        <v>125230000</v>
      </c>
      <c r="E16" s="37">
        <f>Calculations!E89</f>
        <v>139087000</v>
      </c>
    </row>
    <row r="17" spans="2:10" x14ac:dyDescent="0.3">
      <c r="B17" s="27" t="s">
        <v>105</v>
      </c>
      <c r="C17" s="37">
        <f>Calculations!C91</f>
        <v>105450032</v>
      </c>
      <c r="D17" s="37">
        <f>Calculations!D91</f>
        <v>121473100</v>
      </c>
      <c r="E17" s="37">
        <f>Calculations!E91</f>
        <v>137696130</v>
      </c>
    </row>
    <row r="18" spans="2:10" x14ac:dyDescent="0.3">
      <c r="B18" s="27" t="s">
        <v>106</v>
      </c>
      <c r="C18" s="37">
        <f>Calculations!C92</f>
        <v>3440000</v>
      </c>
      <c r="D18" s="37">
        <f>Calculations!D92</f>
        <v>6720000</v>
      </c>
      <c r="E18" s="37">
        <f>Calculations!E92</f>
        <v>10060000.000000002</v>
      </c>
    </row>
    <row r="19" spans="2:10" x14ac:dyDescent="0.3">
      <c r="B19" s="27" t="s">
        <v>107</v>
      </c>
      <c r="C19" s="37">
        <f>Calculations!C93</f>
        <v>4800000</v>
      </c>
      <c r="D19" s="37">
        <f>Calculations!D93</f>
        <v>6800000</v>
      </c>
      <c r="E19" s="37">
        <f>Calculations!E93</f>
        <v>10400000</v>
      </c>
    </row>
    <row r="20" spans="2:10" x14ac:dyDescent="0.3">
      <c r="B20" s="29" t="s">
        <v>108</v>
      </c>
      <c r="C20" s="38">
        <f>Calculations!C94</f>
        <v>113690032</v>
      </c>
      <c r="D20" s="38">
        <f>Calculations!D94</f>
        <v>134993100</v>
      </c>
      <c r="E20" s="38">
        <f>Calculations!E94</f>
        <v>158156130</v>
      </c>
    </row>
    <row r="21" spans="2:10" x14ac:dyDescent="0.3">
      <c r="B21" s="29" t="s">
        <v>109</v>
      </c>
      <c r="C21" s="38">
        <f>Calculations!C98</f>
        <v>120675230.88333333</v>
      </c>
      <c r="D21" s="38">
        <f>Calculations!D98</f>
        <v>117160418.33333333</v>
      </c>
      <c r="E21" s="38">
        <f>Calculations!E98</f>
        <v>114817209.96666665</v>
      </c>
    </row>
    <row r="22" spans="2:10" x14ac:dyDescent="0.3">
      <c r="B22" s="29" t="s">
        <v>110</v>
      </c>
      <c r="C22" s="38">
        <f>Calculations!C99</f>
        <v>-6985198.8833333254</v>
      </c>
      <c r="D22" s="38">
        <f>Calculations!D99</f>
        <v>17832681.666666672</v>
      </c>
      <c r="E22" s="38">
        <f>Calculations!E99</f>
        <v>43338920.033333346</v>
      </c>
    </row>
    <row r="23" spans="2:10" x14ac:dyDescent="0.3">
      <c r="B23" s="29" t="s">
        <v>111</v>
      </c>
      <c r="C23" s="38">
        <f>Calculations!C103</f>
        <v>114619600</v>
      </c>
      <c r="D23" s="38">
        <f>Calculations!D103</f>
        <v>125230000</v>
      </c>
      <c r="E23" s="38">
        <f>Calculations!E103</f>
        <v>139087000</v>
      </c>
    </row>
    <row r="24" spans="2:10" x14ac:dyDescent="0.3">
      <c r="B24" s="27" t="s">
        <v>112</v>
      </c>
      <c r="C24" s="37">
        <f>Calculations!C104</f>
        <v>120675230.88333333</v>
      </c>
      <c r="D24" s="37">
        <f>Calculations!D104</f>
        <v>117160418.33333333</v>
      </c>
      <c r="E24" s="37">
        <f>Calculations!E104</f>
        <v>114817209.96666665</v>
      </c>
    </row>
    <row r="25" spans="2:10" x14ac:dyDescent="0.3">
      <c r="B25" s="29" t="s">
        <v>113</v>
      </c>
      <c r="C25" s="38">
        <f>Calculations!C105</f>
        <v>-6055630.8833333254</v>
      </c>
      <c r="D25" s="38">
        <f>Calculations!D105</f>
        <v>8069581.6666666716</v>
      </c>
      <c r="E25" s="38">
        <f>Calculations!E105</f>
        <v>24269790.033333346</v>
      </c>
    </row>
    <row r="26" spans="2:10" x14ac:dyDescent="0.3">
      <c r="B26" s="27" t="s">
        <v>114</v>
      </c>
      <c r="C26" s="36">
        <f>Calculations!C107</f>
        <v>54</v>
      </c>
      <c r="D26" s="36">
        <f>Calculations!D107</f>
        <v>54</v>
      </c>
      <c r="E26" s="36">
        <f>Calculations!E107</f>
        <v>54</v>
      </c>
    </row>
    <row r="27" spans="2:10" x14ac:dyDescent="0.3">
      <c r="B27" s="29" t="s">
        <v>115</v>
      </c>
      <c r="C27" s="39">
        <f>Calculations!C108</f>
        <v>9</v>
      </c>
      <c r="D27" s="39">
        <f>Calculations!D108</f>
        <v>26</v>
      </c>
      <c r="E27" s="39">
        <f>Calculations!E108</f>
        <v>37</v>
      </c>
    </row>
    <row r="28" spans="2:10" x14ac:dyDescent="0.3">
      <c r="B28" s="29" t="s">
        <v>116</v>
      </c>
      <c r="C28" s="38">
        <f>Calculations!C109</f>
        <v>4294200</v>
      </c>
      <c r="D28" s="38">
        <f>Calculations!D109</f>
        <v>9383400</v>
      </c>
      <c r="E28" s="38">
        <f>Calculations!E109</f>
        <v>12649800</v>
      </c>
    </row>
    <row r="29" spans="2:10" x14ac:dyDescent="0.3">
      <c r="B29" s="29" t="s">
        <v>117</v>
      </c>
      <c r="C29" s="38">
        <f>Calculations!C114</f>
        <v>8240000</v>
      </c>
      <c r="D29" s="38">
        <f>Calculations!D114</f>
        <v>13520000</v>
      </c>
      <c r="E29" s="38">
        <f>Calculations!E114</f>
        <v>20460000</v>
      </c>
    </row>
    <row r="32" spans="2:10" x14ac:dyDescent="0.3">
      <c r="B32" s="8" t="s">
        <v>118</v>
      </c>
      <c r="C32" s="8"/>
      <c r="D32" s="8"/>
      <c r="E32" s="8"/>
      <c r="F32" s="8"/>
      <c r="G32" s="8"/>
      <c r="H32" s="8"/>
      <c r="I32" s="8"/>
      <c r="J32" s="8"/>
    </row>
    <row r="33" spans="2:10" ht="27.75" customHeight="1" x14ac:dyDescent="0.3">
      <c r="B33" s="18" t="s">
        <v>31</v>
      </c>
      <c r="C33" s="18" t="s">
        <v>32</v>
      </c>
      <c r="D33" s="18" t="s">
        <v>119</v>
      </c>
      <c r="E33" s="18" t="s">
        <v>120</v>
      </c>
      <c r="F33" s="18" t="s">
        <v>121</v>
      </c>
      <c r="G33" s="18" t="s">
        <v>122</v>
      </c>
      <c r="H33" s="18" t="s">
        <v>123</v>
      </c>
      <c r="I33" s="18" t="s">
        <v>124</v>
      </c>
      <c r="J33" s="18" t="s">
        <v>125</v>
      </c>
    </row>
    <row r="34" spans="2:10" x14ac:dyDescent="0.3">
      <c r="B34" s="40" t="str">
        <f>CHOOSE(MATCH(Inputs!$C$4,{"Pessimistic","Realistic","Optimistic"},0),Calculations!B6,Calculations!B26,Calculations!B46)</f>
        <v>Pre-KG</v>
      </c>
      <c r="C34" s="36">
        <f>CHOOSE(MATCH(Inputs!$C$4,{"Pessimistic","Realistic","Optimistic"},0),Calculations!C6,Calculations!C26,Calculations!C46)</f>
        <v>0</v>
      </c>
      <c r="D34" s="36">
        <f>CHOOSE(MATCH(Inputs!$C$4,{"Pessimistic","Realistic","Optimistic"},0),Calculations!D6,Calculations!D26,Calculations!D46)</f>
        <v>0</v>
      </c>
      <c r="E34" s="36">
        <f>CHOOSE(MATCH(Inputs!$C$4,{"Pessimistic","Realistic","Optimistic"},0),Calculations!E6,Calculations!E26,Calculations!E46)</f>
        <v>0</v>
      </c>
      <c r="F34" s="37">
        <f>CHOOSE(MATCH(Inputs!$C$4,{"Pessimistic","Realistic","Optimistic"},0),Calculations!F6,Calculations!F26,Calculations!F46)</f>
        <v>0</v>
      </c>
      <c r="G34" s="41">
        <f>CHOOSE(MATCH(Inputs!$C$4,{"Pessimistic","Realistic","Optimistic"},0),Calculations!G6,Calculations!G26,Calculations!G46)</f>
        <v>0</v>
      </c>
      <c r="H34" s="37">
        <f>CHOOSE(MATCH(Inputs!$C$4,{"Pessimistic","Realistic","Optimistic"},0),Calculations!H6,Calculations!H26,Calculations!H46)</f>
        <v>0</v>
      </c>
      <c r="I34" s="37">
        <f>CHOOSE(MATCH(Inputs!$C$4,{"Pessimistic","Realistic","Optimistic"},0),Calculations!I6,Calculations!I26,Calculations!I46)</f>
        <v>0</v>
      </c>
      <c r="J34" s="36">
        <f>CHOOSE(MATCH(Inputs!$C$4,{"Pessimistic","Realistic","Optimistic"},0),Calculations!J6,Calculations!J26,Calculations!J46)</f>
        <v>0</v>
      </c>
    </row>
    <row r="35" spans="2:10" x14ac:dyDescent="0.3">
      <c r="B35" s="40" t="str">
        <f>CHOOSE(MATCH(Inputs!$C$4,{"Pessimistic","Realistic","Optimistic"},0),Calculations!B7,Calculations!B27,Calculations!B47)</f>
        <v>LKG</v>
      </c>
      <c r="C35" s="36">
        <f>CHOOSE(MATCH(Inputs!$C$4,{"Pessimistic","Realistic","Optimistic"},0),Calculations!C7,Calculations!C27,Calculations!C47)</f>
        <v>4</v>
      </c>
      <c r="D35" s="36">
        <f>CHOOSE(MATCH(Inputs!$C$4,{"Pessimistic","Realistic","Optimistic"},0),Calculations!D7,Calculations!D27,Calculations!D47)</f>
        <v>18</v>
      </c>
      <c r="E35" s="36">
        <f>CHOOSE(MATCH(Inputs!$C$4,{"Pessimistic","Realistic","Optimistic"},0),Calculations!E7,Calculations!E27,Calculations!E47)</f>
        <v>22</v>
      </c>
      <c r="F35" s="37">
        <f>CHOOSE(MATCH(Inputs!$C$4,{"Pessimistic","Realistic","Optimistic"},0),Calculations!F7,Calculations!F27,Calculations!F47)</f>
        <v>4620000</v>
      </c>
      <c r="G35" s="41">
        <f>CHOOSE(MATCH(Inputs!$C$4,{"Pessimistic","Realistic","Optimistic"},0),Calculations!G7,Calculations!G27,Calculations!G47)</f>
        <v>0</v>
      </c>
      <c r="H35" s="37">
        <f>CHOOSE(MATCH(Inputs!$C$4,{"Pessimistic","Realistic","Optimistic"},0),Calculations!H7,Calculations!H27,Calculations!H47)</f>
        <v>0</v>
      </c>
      <c r="I35" s="37">
        <f>CHOOSE(MATCH(Inputs!$C$4,{"Pessimistic","Realistic","Optimistic"},0),Calculations!I7,Calculations!I27,Calculations!I47)</f>
        <v>1800000</v>
      </c>
      <c r="J35" s="36">
        <f>CHOOSE(MATCH(Inputs!$C$4,{"Pessimistic","Realistic","Optimistic"},0),Calculations!J7,Calculations!J27,Calculations!J47)</f>
        <v>0</v>
      </c>
    </row>
    <row r="36" spans="2:10" x14ac:dyDescent="0.3">
      <c r="B36" s="40" t="str">
        <f>CHOOSE(MATCH(Inputs!$C$4,{"Pessimistic","Realistic","Optimistic"},0),Calculations!B8,Calculations!B28,Calculations!B48)</f>
        <v>UKG</v>
      </c>
      <c r="C36" s="36">
        <f>CHOOSE(MATCH(Inputs!$C$4,{"Pessimistic","Realistic","Optimistic"},0),Calculations!C8,Calculations!C28,Calculations!C48)</f>
        <v>15</v>
      </c>
      <c r="D36" s="36">
        <f>CHOOSE(MATCH(Inputs!$C$4,{"Pessimistic","Realistic","Optimistic"},0),Calculations!D8,Calculations!D28,Calculations!D48)</f>
        <v>11</v>
      </c>
      <c r="E36" s="36">
        <f>CHOOSE(MATCH(Inputs!$C$4,{"Pessimistic","Realistic","Optimistic"},0),Calculations!E8,Calculations!E28,Calculations!E48)</f>
        <v>26</v>
      </c>
      <c r="F36" s="37">
        <f>CHOOSE(MATCH(Inputs!$C$4,{"Pessimistic","Realistic","Optimistic"},0),Calculations!F8,Calculations!F28,Calculations!F48)</f>
        <v>5226000</v>
      </c>
      <c r="G36" s="41">
        <f>CHOOSE(MATCH(Inputs!$C$4,{"Pessimistic","Realistic","Optimistic"},0),Calculations!G8,Calculations!G28,Calculations!G48)</f>
        <v>0</v>
      </c>
      <c r="H36" s="37">
        <f>CHOOSE(MATCH(Inputs!$C$4,{"Pessimistic","Realistic","Optimistic"},0),Calculations!H8,Calculations!H28,Calculations!H48)</f>
        <v>0</v>
      </c>
      <c r="I36" s="37">
        <f>CHOOSE(MATCH(Inputs!$C$4,{"Pessimistic","Realistic","Optimistic"},0),Calculations!I8,Calculations!I28,Calculations!I48)</f>
        <v>1100000</v>
      </c>
      <c r="J36" s="36">
        <f>CHOOSE(MATCH(Inputs!$C$4,{"Pessimistic","Realistic","Optimistic"},0),Calculations!J8,Calculations!J28,Calculations!J48)</f>
        <v>0</v>
      </c>
    </row>
    <row r="37" spans="2:10" x14ac:dyDescent="0.3">
      <c r="B37" s="40" t="str">
        <f>CHOOSE(MATCH(Inputs!$C$4,{"Pessimistic","Realistic","Optimistic"},0),Calculations!B9,Calculations!B29,Calculations!B49)</f>
        <v>I</v>
      </c>
      <c r="C37" s="36">
        <f>CHOOSE(MATCH(Inputs!$C$4,{"Pessimistic","Realistic","Optimistic"},0),Calculations!C9,Calculations!C29,Calculations!C49)</f>
        <v>23</v>
      </c>
      <c r="D37" s="36">
        <f>CHOOSE(MATCH(Inputs!$C$4,{"Pessimistic","Realistic","Optimistic"},0),Calculations!D9,Calculations!D29,Calculations!D49)</f>
        <v>11</v>
      </c>
      <c r="E37" s="36">
        <f>CHOOSE(MATCH(Inputs!$C$4,{"Pessimistic","Realistic","Optimistic"},0),Calculations!E9,Calculations!E29,Calculations!E49)</f>
        <v>34</v>
      </c>
      <c r="F37" s="37">
        <f>CHOOSE(MATCH(Inputs!$C$4,{"Pessimistic","Realistic","Optimistic"},0),Calculations!F9,Calculations!F29,Calculations!F49)</f>
        <v>7378000</v>
      </c>
      <c r="G37" s="41">
        <f>CHOOSE(MATCH(Inputs!$C$4,{"Pessimistic","Realistic","Optimistic"},0),Calculations!G9,Calculations!G29,Calculations!G49)</f>
        <v>0</v>
      </c>
      <c r="H37" s="37">
        <f>CHOOSE(MATCH(Inputs!$C$4,{"Pessimistic","Realistic","Optimistic"},0),Calculations!H9,Calculations!H29,Calculations!H49)</f>
        <v>0</v>
      </c>
      <c r="I37" s="37">
        <f>CHOOSE(MATCH(Inputs!$C$4,{"Pessimistic","Realistic","Optimistic"},0),Calculations!I9,Calculations!I29,Calculations!I49)</f>
        <v>1100000</v>
      </c>
      <c r="J37" s="36">
        <f>CHOOSE(MATCH(Inputs!$C$4,{"Pessimistic","Realistic","Optimistic"},0),Calculations!J9,Calculations!J29,Calculations!J49)</f>
        <v>0</v>
      </c>
    </row>
    <row r="38" spans="2:10" x14ac:dyDescent="0.3">
      <c r="B38" s="40" t="str">
        <f>CHOOSE(MATCH(Inputs!$C$4,{"Pessimistic","Realistic","Optimistic"},0),Calculations!B10,Calculations!B30,Calculations!B50)</f>
        <v>II</v>
      </c>
      <c r="C38" s="36">
        <f>CHOOSE(MATCH(Inputs!$C$4,{"Pessimistic","Realistic","Optimistic"},0),Calculations!C10,Calculations!C30,Calculations!C50)</f>
        <v>33</v>
      </c>
      <c r="D38" s="36">
        <f>CHOOSE(MATCH(Inputs!$C$4,{"Pessimistic","Realistic","Optimistic"},0),Calculations!D10,Calculations!D30,Calculations!D50)</f>
        <v>0</v>
      </c>
      <c r="E38" s="36">
        <f>CHOOSE(MATCH(Inputs!$C$4,{"Pessimistic","Realistic","Optimistic"},0),Calculations!E10,Calculations!E30,Calculations!E50)</f>
        <v>28</v>
      </c>
      <c r="F38" s="37">
        <f>CHOOSE(MATCH(Inputs!$C$4,{"Pessimistic","Realistic","Optimistic"},0),Calculations!F10,Calculations!F30,Calculations!F50)</f>
        <v>7291200</v>
      </c>
      <c r="G38" s="41">
        <f>CHOOSE(MATCH(Inputs!$C$4,{"Pessimistic","Realistic","Optimistic"},0),Calculations!G10,Calculations!G30,Calculations!G50)</f>
        <v>0</v>
      </c>
      <c r="H38" s="37">
        <f>CHOOSE(MATCH(Inputs!$C$4,{"Pessimistic","Realistic","Optimistic"},0),Calculations!H10,Calculations!H30,Calculations!H50)</f>
        <v>0</v>
      </c>
      <c r="I38" s="37">
        <f>CHOOSE(MATCH(Inputs!$C$4,{"Pessimistic","Realistic","Optimistic"},0),Calculations!I10,Calculations!I30,Calculations!I50)</f>
        <v>0</v>
      </c>
      <c r="J38" s="36">
        <f>CHOOSE(MATCH(Inputs!$C$4,{"Pessimistic","Realistic","Optimistic"},0),Calculations!J10,Calculations!J30,Calculations!J50)</f>
        <v>5</v>
      </c>
    </row>
    <row r="39" spans="2:10" x14ac:dyDescent="0.3">
      <c r="B39" s="40" t="str">
        <f>CHOOSE(MATCH(Inputs!$C$4,{"Pessimistic","Realistic","Optimistic"},0),Calculations!B11,Calculations!B31,Calculations!B51)</f>
        <v>III</v>
      </c>
      <c r="C39" s="36">
        <f>CHOOSE(MATCH(Inputs!$C$4,{"Pessimistic","Realistic","Optimistic"},0),Calculations!C11,Calculations!C31,Calculations!C51)</f>
        <v>34</v>
      </c>
      <c r="D39" s="36">
        <f>CHOOSE(MATCH(Inputs!$C$4,{"Pessimistic","Realistic","Optimistic"},0),Calculations!D11,Calculations!D31,Calculations!D51)</f>
        <v>0</v>
      </c>
      <c r="E39" s="36">
        <f>CHOOSE(MATCH(Inputs!$C$4,{"Pessimistic","Realistic","Optimistic"},0),Calculations!E11,Calculations!E31,Calculations!E51)</f>
        <v>29</v>
      </c>
      <c r="F39" s="37">
        <f>CHOOSE(MATCH(Inputs!$C$4,{"Pessimistic","Realistic","Optimistic"},0),Calculations!F11,Calculations!F31,Calculations!F51)</f>
        <v>7899600</v>
      </c>
      <c r="G39" s="41">
        <f>CHOOSE(MATCH(Inputs!$C$4,{"Pessimistic","Realistic","Optimistic"},0),Calculations!G11,Calculations!G31,Calculations!G51)</f>
        <v>0</v>
      </c>
      <c r="H39" s="37">
        <f>CHOOSE(MATCH(Inputs!$C$4,{"Pessimistic","Realistic","Optimistic"},0),Calculations!H11,Calculations!H31,Calculations!H51)</f>
        <v>0</v>
      </c>
      <c r="I39" s="37">
        <f>CHOOSE(MATCH(Inputs!$C$4,{"Pessimistic","Realistic","Optimistic"},0),Calculations!I11,Calculations!I31,Calculations!I51)</f>
        <v>0</v>
      </c>
      <c r="J39" s="36">
        <f>CHOOSE(MATCH(Inputs!$C$4,{"Pessimistic","Realistic","Optimistic"},0),Calculations!J11,Calculations!J31,Calculations!J51)</f>
        <v>5</v>
      </c>
    </row>
    <row r="40" spans="2:10" x14ac:dyDescent="0.3">
      <c r="B40" s="40" t="str">
        <f>CHOOSE(MATCH(Inputs!$C$4,{"Pessimistic","Realistic","Optimistic"},0),Calculations!B12,Calculations!B32,Calculations!B52)</f>
        <v>IV</v>
      </c>
      <c r="C40" s="36">
        <f>CHOOSE(MATCH(Inputs!$C$4,{"Pessimistic","Realistic","Optimistic"},0),Calculations!C12,Calculations!C32,Calculations!C52)</f>
        <v>32</v>
      </c>
      <c r="D40" s="36">
        <f>CHOOSE(MATCH(Inputs!$C$4,{"Pessimistic","Realistic","Optimistic"},0),Calculations!D12,Calculations!D32,Calculations!D52)</f>
        <v>0</v>
      </c>
      <c r="E40" s="36">
        <f>CHOOSE(MATCH(Inputs!$C$4,{"Pessimistic","Realistic","Optimistic"},0),Calculations!E12,Calculations!E32,Calculations!E52)</f>
        <v>27</v>
      </c>
      <c r="F40" s="37">
        <f>CHOOSE(MATCH(Inputs!$C$4,{"Pessimistic","Realistic","Optimistic"},0),Calculations!F12,Calculations!F32,Calculations!F52)</f>
        <v>7516800</v>
      </c>
      <c r="G40" s="41">
        <f>CHOOSE(MATCH(Inputs!$C$4,{"Pessimistic","Realistic","Optimistic"},0),Calculations!G12,Calculations!G32,Calculations!G52)</f>
        <v>0</v>
      </c>
      <c r="H40" s="37">
        <f>CHOOSE(MATCH(Inputs!$C$4,{"Pessimistic","Realistic","Optimistic"},0),Calculations!H12,Calculations!H32,Calculations!H52)</f>
        <v>0</v>
      </c>
      <c r="I40" s="37">
        <f>CHOOSE(MATCH(Inputs!$C$4,{"Pessimistic","Realistic","Optimistic"},0),Calculations!I12,Calculations!I32,Calculations!I52)</f>
        <v>0</v>
      </c>
      <c r="J40" s="36">
        <f>CHOOSE(MATCH(Inputs!$C$4,{"Pessimistic","Realistic","Optimistic"},0),Calculations!J12,Calculations!J32,Calculations!J52)</f>
        <v>5</v>
      </c>
    </row>
    <row r="41" spans="2:10" x14ac:dyDescent="0.3">
      <c r="B41" s="40" t="str">
        <f>CHOOSE(MATCH(Inputs!$C$4,{"Pessimistic","Realistic","Optimistic"},0),Calculations!B13,Calculations!B33,Calculations!B53)</f>
        <v>V</v>
      </c>
      <c r="C41" s="36">
        <f>CHOOSE(MATCH(Inputs!$C$4,{"Pessimistic","Realistic","Optimistic"},0),Calculations!C13,Calculations!C33,Calculations!C53)</f>
        <v>31</v>
      </c>
      <c r="D41" s="36">
        <f>CHOOSE(MATCH(Inputs!$C$4,{"Pessimistic","Realistic","Optimistic"},0),Calculations!D13,Calculations!D33,Calculations!D53)</f>
        <v>1</v>
      </c>
      <c r="E41" s="36">
        <f>CHOOSE(MATCH(Inputs!$C$4,{"Pessimistic","Realistic","Optimistic"},0),Calculations!E13,Calculations!E33,Calculations!E53)</f>
        <v>27</v>
      </c>
      <c r="F41" s="37">
        <f>CHOOSE(MATCH(Inputs!$C$4,{"Pessimistic","Realistic","Optimistic"},0),Calculations!F13,Calculations!F33,Calculations!F53)</f>
        <v>8229600</v>
      </c>
      <c r="G41" s="41">
        <f>CHOOSE(MATCH(Inputs!$C$4,{"Pessimistic","Realistic","Optimistic"},0),Calculations!G13,Calculations!G33,Calculations!G53)</f>
        <v>0</v>
      </c>
      <c r="H41" s="37">
        <f>CHOOSE(MATCH(Inputs!$C$4,{"Pessimistic","Realistic","Optimistic"},0),Calculations!H13,Calculations!H33,Calculations!H53)</f>
        <v>0</v>
      </c>
      <c r="I41" s="37">
        <f>CHOOSE(MATCH(Inputs!$C$4,{"Pessimistic","Realistic","Optimistic"},0),Calculations!I13,Calculations!I33,Calculations!I53)</f>
        <v>100000</v>
      </c>
      <c r="J41" s="36">
        <f>CHOOSE(MATCH(Inputs!$C$4,{"Pessimistic","Realistic","Optimistic"},0),Calculations!J13,Calculations!J33,Calculations!J53)</f>
        <v>5</v>
      </c>
    </row>
    <row r="42" spans="2:10" x14ac:dyDescent="0.3">
      <c r="B42" s="40" t="str">
        <f>CHOOSE(MATCH(Inputs!$C$4,{"Pessimistic","Realistic","Optimistic"},0),Calculations!B14,Calculations!B34,Calculations!B54)</f>
        <v>VI</v>
      </c>
      <c r="C42" s="36">
        <f>CHOOSE(MATCH(Inputs!$C$4,{"Pessimistic","Realistic","Optimistic"},0),Calculations!C14,Calculations!C34,Calculations!C54)</f>
        <v>31</v>
      </c>
      <c r="D42" s="36">
        <f>CHOOSE(MATCH(Inputs!$C$4,{"Pessimistic","Realistic","Optimistic"},0),Calculations!D14,Calculations!D34,Calculations!D54)</f>
        <v>1</v>
      </c>
      <c r="E42" s="36">
        <f>CHOOSE(MATCH(Inputs!$C$4,{"Pessimistic","Realistic","Optimistic"},0),Calculations!E14,Calculations!E34,Calculations!E54)</f>
        <v>29</v>
      </c>
      <c r="F42" s="37">
        <f>CHOOSE(MATCH(Inputs!$C$4,{"Pessimistic","Realistic","Optimistic"},0),Calculations!F14,Calculations!F34,Calculations!F54)</f>
        <v>9396000</v>
      </c>
      <c r="G42" s="41">
        <f>CHOOSE(MATCH(Inputs!$C$4,{"Pessimistic","Realistic","Optimistic"},0),Calculations!G14,Calculations!G34,Calculations!G54)</f>
        <v>0.2</v>
      </c>
      <c r="H42" s="37">
        <f>CHOOSE(MATCH(Inputs!$C$4,{"Pessimistic","Realistic","Optimistic"},0),Calculations!H14,Calculations!H34,Calculations!H54)</f>
        <v>1120000</v>
      </c>
      <c r="I42" s="37">
        <f>CHOOSE(MATCH(Inputs!$C$4,{"Pessimistic","Realistic","Optimistic"},0),Calculations!I14,Calculations!I34,Calculations!I54)</f>
        <v>100000</v>
      </c>
      <c r="J42" s="36">
        <f>CHOOSE(MATCH(Inputs!$C$4,{"Pessimistic","Realistic","Optimistic"},0),Calculations!J14,Calculations!J34,Calculations!J54)</f>
        <v>3</v>
      </c>
    </row>
    <row r="43" spans="2:10" x14ac:dyDescent="0.3">
      <c r="B43" s="40" t="str">
        <f>CHOOSE(MATCH(Inputs!$C$4,{"Pessimistic","Realistic","Optimistic"},0),Calculations!B15,Calculations!B35,Calculations!B55)</f>
        <v>VII</v>
      </c>
      <c r="C43" s="36">
        <f>CHOOSE(MATCH(Inputs!$C$4,{"Pessimistic","Realistic","Optimistic"},0),Calculations!C15,Calculations!C35,Calculations!C55)</f>
        <v>27</v>
      </c>
      <c r="D43" s="36">
        <f>CHOOSE(MATCH(Inputs!$C$4,{"Pessimistic","Realistic","Optimistic"},0),Calculations!D15,Calculations!D35,Calculations!D55)</f>
        <v>2</v>
      </c>
      <c r="E43" s="36">
        <f>CHOOSE(MATCH(Inputs!$C$4,{"Pessimistic","Realistic","Optimistic"},0),Calculations!E15,Calculations!E35,Calculations!E55)</f>
        <v>27</v>
      </c>
      <c r="F43" s="37">
        <f>CHOOSE(MATCH(Inputs!$C$4,{"Pessimistic","Realistic","Optimistic"},0),Calculations!F15,Calculations!F35,Calculations!F55)</f>
        <v>9331200</v>
      </c>
      <c r="G43" s="41">
        <f>CHOOSE(MATCH(Inputs!$C$4,{"Pessimistic","Realistic","Optimistic"},0),Calculations!G15,Calculations!G35,Calculations!G55)</f>
        <v>0.2</v>
      </c>
      <c r="H43" s="37">
        <f>CHOOSE(MATCH(Inputs!$C$4,{"Pessimistic","Realistic","Optimistic"},0),Calculations!H15,Calculations!H35,Calculations!H55)</f>
        <v>1000000</v>
      </c>
      <c r="I43" s="37">
        <f>CHOOSE(MATCH(Inputs!$C$4,{"Pessimistic","Realistic","Optimistic"},0),Calculations!I15,Calculations!I35,Calculations!I55)</f>
        <v>200000</v>
      </c>
      <c r="J43" s="36">
        <f>CHOOSE(MATCH(Inputs!$C$4,{"Pessimistic","Realistic","Optimistic"},0),Calculations!J15,Calculations!J35,Calculations!J55)</f>
        <v>2</v>
      </c>
    </row>
    <row r="44" spans="2:10" x14ac:dyDescent="0.3">
      <c r="B44" s="40" t="str">
        <f>CHOOSE(MATCH(Inputs!$C$4,{"Pessimistic","Realistic","Optimistic"},0),Calculations!B16,Calculations!B36,Calculations!B56)</f>
        <v>VIII</v>
      </c>
      <c r="C44" s="36">
        <f>CHOOSE(MATCH(Inputs!$C$4,{"Pessimistic","Realistic","Optimistic"},0),Calculations!C16,Calculations!C36,Calculations!C56)</f>
        <v>25</v>
      </c>
      <c r="D44" s="36">
        <f>CHOOSE(MATCH(Inputs!$C$4,{"Pessimistic","Realistic","Optimistic"},0),Calculations!D16,Calculations!D36,Calculations!D56)</f>
        <v>3</v>
      </c>
      <c r="E44" s="36">
        <f>CHOOSE(MATCH(Inputs!$C$4,{"Pessimistic","Realistic","Optimistic"},0),Calculations!E16,Calculations!E36,Calculations!E56)</f>
        <v>26</v>
      </c>
      <c r="F44" s="37">
        <f>CHOOSE(MATCH(Inputs!$C$4,{"Pessimistic","Realistic","Optimistic"},0),Calculations!F16,Calculations!F36,Calculations!F56)</f>
        <v>9484800</v>
      </c>
      <c r="G44" s="41">
        <f>CHOOSE(MATCH(Inputs!$C$4,{"Pessimistic","Realistic","Optimistic"},0),Calculations!G16,Calculations!G36,Calculations!G56)</f>
        <v>0.3</v>
      </c>
      <c r="H44" s="37">
        <f>CHOOSE(MATCH(Inputs!$C$4,{"Pessimistic","Realistic","Optimistic"},0),Calculations!H16,Calculations!H36,Calculations!H56)</f>
        <v>1380000</v>
      </c>
      <c r="I44" s="37">
        <f>CHOOSE(MATCH(Inputs!$C$4,{"Pessimistic","Realistic","Optimistic"},0),Calculations!I16,Calculations!I36,Calculations!I56)</f>
        <v>300000</v>
      </c>
      <c r="J44" s="36">
        <f>CHOOSE(MATCH(Inputs!$C$4,{"Pessimistic","Realistic","Optimistic"},0),Calculations!J16,Calculations!J36,Calculations!J56)</f>
        <v>2</v>
      </c>
    </row>
    <row r="45" spans="2:10" x14ac:dyDescent="0.3">
      <c r="B45" s="40" t="str">
        <f>CHOOSE(MATCH(Inputs!$C$4,{"Pessimistic","Realistic","Optimistic"},0),Calculations!B17,Calculations!B37,Calculations!B57)</f>
        <v>IX</v>
      </c>
      <c r="C45" s="36">
        <f>CHOOSE(MATCH(Inputs!$C$4,{"Pessimistic","Realistic","Optimistic"},0),Calculations!C17,Calculations!C37,Calculations!C57)</f>
        <v>26</v>
      </c>
      <c r="D45" s="36">
        <f>CHOOSE(MATCH(Inputs!$C$4,{"Pessimistic","Realistic","Optimistic"},0),Calculations!D17,Calculations!D37,Calculations!D57)</f>
        <v>3</v>
      </c>
      <c r="E45" s="36">
        <f>CHOOSE(MATCH(Inputs!$C$4,{"Pessimistic","Realistic","Optimistic"},0),Calculations!E17,Calculations!E37,Calculations!E57)</f>
        <v>28</v>
      </c>
      <c r="F45" s="37">
        <f>CHOOSE(MATCH(Inputs!$C$4,{"Pessimistic","Realistic","Optimistic"},0),Calculations!F17,Calculations!F37,Calculations!F57)</f>
        <v>10718400</v>
      </c>
      <c r="G45" s="41">
        <f>CHOOSE(MATCH(Inputs!$C$4,{"Pessimistic","Realistic","Optimistic"},0),Calculations!G17,Calculations!G37,Calculations!G57)</f>
        <v>0.3</v>
      </c>
      <c r="H45" s="37">
        <f>CHOOSE(MATCH(Inputs!$C$4,{"Pessimistic","Realistic","Optimistic"},0),Calculations!H17,Calculations!H37,Calculations!H57)</f>
        <v>1500000</v>
      </c>
      <c r="I45" s="37">
        <f>CHOOSE(MATCH(Inputs!$C$4,{"Pessimistic","Realistic","Optimistic"},0),Calculations!I17,Calculations!I37,Calculations!I57)</f>
        <v>300000</v>
      </c>
      <c r="J45" s="36">
        <f>CHOOSE(MATCH(Inputs!$C$4,{"Pessimistic","Realistic","Optimistic"},0),Calculations!J17,Calculations!J37,Calculations!J57)</f>
        <v>1</v>
      </c>
    </row>
    <row r="46" spans="2:10" x14ac:dyDescent="0.3">
      <c r="B46" s="40" t="str">
        <f>CHOOSE(MATCH(Inputs!$C$4,{"Pessimistic","Realistic","Optimistic"},0),Calculations!B18,Calculations!B38,Calculations!B58)</f>
        <v>X</v>
      </c>
      <c r="C46" s="36">
        <f>CHOOSE(MATCH(Inputs!$C$4,{"Pessimistic","Realistic","Optimistic"},0),Calculations!C18,Calculations!C38,Calculations!C58)</f>
        <v>30</v>
      </c>
      <c r="D46" s="36">
        <f>CHOOSE(MATCH(Inputs!$C$4,{"Pessimistic","Realistic","Optimistic"},0),Calculations!D18,Calculations!D38,Calculations!D58)</f>
        <v>0</v>
      </c>
      <c r="E46" s="36">
        <f>CHOOSE(MATCH(Inputs!$C$4,{"Pessimistic","Realistic","Optimistic"},0),Calculations!E18,Calculations!E38,Calculations!E58)</f>
        <v>30</v>
      </c>
      <c r="F46" s="37">
        <f>CHOOSE(MATCH(Inputs!$C$4,{"Pessimistic","Realistic","Optimistic"},0),Calculations!F18,Calculations!F38,Calculations!F58)</f>
        <v>11952000</v>
      </c>
      <c r="G46" s="41">
        <f>CHOOSE(MATCH(Inputs!$C$4,{"Pessimistic","Realistic","Optimistic"},0),Calculations!G18,Calculations!G38,Calculations!G58)</f>
        <v>0.2</v>
      </c>
      <c r="H46" s="37">
        <f>CHOOSE(MATCH(Inputs!$C$4,{"Pessimistic","Realistic","Optimistic"},0),Calculations!H18,Calculations!H38,Calculations!H58)</f>
        <v>1200000</v>
      </c>
      <c r="I46" s="37">
        <f>CHOOSE(MATCH(Inputs!$C$4,{"Pessimistic","Realistic","Optimistic"},0),Calculations!I18,Calculations!I38,Calculations!I58)</f>
        <v>0</v>
      </c>
      <c r="J46" s="36">
        <f>CHOOSE(MATCH(Inputs!$C$4,{"Pessimistic","Realistic","Optimistic"},0),Calculations!J18,Calculations!J38,Calculations!J58)</f>
        <v>0</v>
      </c>
    </row>
    <row r="47" spans="2:10" x14ac:dyDescent="0.3">
      <c r="B47" s="40" t="str">
        <f>CHOOSE(MATCH(Inputs!$C$4,{"Pessimistic","Realistic","Optimistic"},0),Calculations!B19,Calculations!B39,Calculations!B59)</f>
        <v>AS</v>
      </c>
      <c r="C47" s="36">
        <f>CHOOSE(MATCH(Inputs!$C$4,{"Pessimistic","Realistic","Optimistic"},0),Calculations!C19,Calculations!C39,Calculations!C59)</f>
        <v>26</v>
      </c>
      <c r="D47" s="36">
        <f>CHOOSE(MATCH(Inputs!$C$4,{"Pessimistic","Realistic","Optimistic"},0),Calculations!D19,Calculations!D39,Calculations!D59)</f>
        <v>17</v>
      </c>
      <c r="E47" s="36">
        <f>CHOOSE(MATCH(Inputs!$C$4,{"Pessimistic","Realistic","Optimistic"},0),Calculations!E19,Calculations!E39,Calculations!E59)</f>
        <v>43</v>
      </c>
      <c r="F47" s="37">
        <f>CHOOSE(MATCH(Inputs!$C$4,{"Pessimistic","Realistic","Optimistic"},0),Calculations!F19,Calculations!F39,Calculations!F59)</f>
        <v>15170400</v>
      </c>
      <c r="G47" s="41">
        <f>CHOOSE(MATCH(Inputs!$C$4,{"Pessimistic","Realistic","Optimistic"},0),Calculations!G19,Calculations!G39,Calculations!G59)</f>
        <v>0.1</v>
      </c>
      <c r="H47" s="37">
        <f>CHOOSE(MATCH(Inputs!$C$4,{"Pessimistic","Realistic","Optimistic"},0),Calculations!H19,Calculations!H39,Calculations!H59)</f>
        <v>520000</v>
      </c>
      <c r="I47" s="37">
        <f>CHOOSE(MATCH(Inputs!$C$4,{"Pessimistic","Realistic","Optimistic"},0),Calculations!I19,Calculations!I39,Calculations!I59)</f>
        <v>1700000</v>
      </c>
      <c r="J47" s="36">
        <f>CHOOSE(MATCH(Inputs!$C$4,{"Pessimistic","Realistic","Optimistic"},0),Calculations!J19,Calculations!J39,Calculations!J59)</f>
        <v>0</v>
      </c>
    </row>
    <row r="48" spans="2:10" x14ac:dyDescent="0.3">
      <c r="B48" s="40" t="str">
        <f>CHOOSE(MATCH(Inputs!$C$4,{"Pessimistic","Realistic","Optimistic"},0),Calculations!B20,Calculations!B40,Calculations!B60)</f>
        <v>A2</v>
      </c>
      <c r="C48" s="36">
        <f>CHOOSE(MATCH(Inputs!$C$4,{"Pessimistic","Realistic","Optimistic"},0),Calculations!C20,Calculations!C40,Calculations!C60)</f>
        <v>29</v>
      </c>
      <c r="D48" s="36">
        <f>CHOOSE(MATCH(Inputs!$C$4,{"Pessimistic","Realistic","Optimistic"},0),Calculations!D20,Calculations!D40,Calculations!D60)</f>
        <v>1</v>
      </c>
      <c r="E48" s="36">
        <f>CHOOSE(MATCH(Inputs!$C$4,{"Pessimistic","Realistic","Optimistic"},0),Calculations!E20,Calculations!E40,Calculations!E60)</f>
        <v>30</v>
      </c>
      <c r="F48" s="37">
        <f>CHOOSE(MATCH(Inputs!$C$4,{"Pessimistic","Realistic","Optimistic"},0),Calculations!F20,Calculations!F40,Calculations!F60)</f>
        <v>11016000</v>
      </c>
      <c r="G48" s="41">
        <f>CHOOSE(MATCH(Inputs!$C$4,{"Pessimistic","Realistic","Optimistic"},0),Calculations!G20,Calculations!G40,Calculations!G60)</f>
        <v>0</v>
      </c>
      <c r="H48" s="37">
        <f>CHOOSE(MATCH(Inputs!$C$4,{"Pessimistic","Realistic","Optimistic"},0),Calculations!H20,Calculations!H40,Calculations!H60)</f>
        <v>0</v>
      </c>
      <c r="I48" s="37">
        <f>CHOOSE(MATCH(Inputs!$C$4,{"Pessimistic","Realistic","Optimistic"},0),Calculations!I20,Calculations!I40,Calculations!I60)</f>
        <v>100000</v>
      </c>
      <c r="J48" s="36">
        <f>CHOOSE(MATCH(Inputs!$C$4,{"Pessimistic","Realistic","Optimistic"},0),Calculations!J20,Calculations!J40,Calculations!J60)</f>
        <v>0</v>
      </c>
    </row>
    <row r="49" spans="2:10" x14ac:dyDescent="0.3">
      <c r="B49" s="29" t="s">
        <v>61</v>
      </c>
      <c r="C49" s="42">
        <f>SUM(C34:C48)</f>
        <v>366</v>
      </c>
      <c r="D49" s="42">
        <f>SUM(D34:D48)</f>
        <v>68</v>
      </c>
      <c r="E49" s="42">
        <f>SUM(E34:E48)</f>
        <v>406</v>
      </c>
      <c r="F49" s="43">
        <f>SUM(F34:F48)</f>
        <v>125230000</v>
      </c>
      <c r="G49" s="44"/>
      <c r="H49" s="43">
        <f>SUM(H34:H48)</f>
        <v>6720000</v>
      </c>
      <c r="I49" s="43">
        <f>SUM(I34:I48)</f>
        <v>6800000</v>
      </c>
      <c r="J49" s="42">
        <f>SUM(J34:J48)</f>
        <v>28</v>
      </c>
    </row>
  </sheetData>
  <mergeCells count="16">
    <mergeCell ref="B11:E11"/>
    <mergeCell ref="B32:J32"/>
    <mergeCell ref="N6:P6"/>
    <mergeCell ref="Q6:S6"/>
    <mergeCell ref="B7:D8"/>
    <mergeCell ref="E7:G8"/>
    <mergeCell ref="H7:J8"/>
    <mergeCell ref="K7:M8"/>
    <mergeCell ref="N7:P8"/>
    <mergeCell ref="Q7:S8"/>
    <mergeCell ref="C4:D4"/>
    <mergeCell ref="E4:K4"/>
    <mergeCell ref="B6:D6"/>
    <mergeCell ref="E6:G6"/>
    <mergeCell ref="H6:J6"/>
    <mergeCell ref="K6:M6"/>
  </mergeCells>
  <pageMargins left="0.75" right="0.75" top="1" bottom="1" header="0.511811023622047" footer="0.511811023622047"/>
  <pageSetup paperSize="9"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14"/>
  <sheetViews>
    <sheetView showGridLines="0" zoomScaleNormal="100" workbookViewId="0"/>
  </sheetViews>
  <sheetFormatPr defaultColWidth="8.6640625" defaultRowHeight="14.4" x14ac:dyDescent="0.3"/>
  <cols>
    <col min="2" max="5" width="16" customWidth="1"/>
    <col min="6" max="10" width="14" customWidth="1"/>
  </cols>
  <sheetData>
    <row r="1" spans="2:10" ht="17.399999999999999" x14ac:dyDescent="0.3">
      <c r="B1" s="13" t="s">
        <v>126</v>
      </c>
    </row>
    <row r="2" spans="2:10" x14ac:dyDescent="0.3">
      <c r="B2" s="14" t="s">
        <v>127</v>
      </c>
    </row>
    <row r="4" spans="2:10" x14ac:dyDescent="0.3">
      <c r="B4" s="8" t="s">
        <v>128</v>
      </c>
      <c r="C4" s="8"/>
      <c r="D4" s="8"/>
      <c r="E4" s="8"/>
      <c r="F4" s="8"/>
      <c r="G4" s="8"/>
      <c r="H4" s="8"/>
      <c r="I4" s="8"/>
      <c r="J4" s="8"/>
    </row>
    <row r="5" spans="2:10" ht="27.75" customHeight="1" x14ac:dyDescent="0.3">
      <c r="B5" s="18" t="s">
        <v>31</v>
      </c>
      <c r="C5" s="18" t="s">
        <v>32</v>
      </c>
      <c r="D5" s="18" t="s">
        <v>119</v>
      </c>
      <c r="E5" s="18" t="s">
        <v>120</v>
      </c>
      <c r="F5" s="18" t="s">
        <v>121</v>
      </c>
      <c r="G5" s="18" t="s">
        <v>122</v>
      </c>
      <c r="H5" s="18" t="s">
        <v>123</v>
      </c>
      <c r="I5" s="18" t="s">
        <v>124</v>
      </c>
      <c r="J5" s="18" t="s">
        <v>125</v>
      </c>
    </row>
    <row r="6" spans="2:10" x14ac:dyDescent="0.3">
      <c r="B6" s="40" t="str">
        <f>Inputs!B8</f>
        <v>Pre-KG</v>
      </c>
      <c r="C6" s="45">
        <f>Inputs!C8</f>
        <v>0</v>
      </c>
      <c r="D6" s="45">
        <f>MIN(Inputs!F8,MAX(0,ROUND(Inputs!F8*Inputs!H8*Inputs!$E$42,0)))</f>
        <v>0</v>
      </c>
      <c r="E6" s="45">
        <f t="shared" ref="E6:E20" si="0">C6-J6+D6</f>
        <v>0</v>
      </c>
      <c r="F6" s="46">
        <f>E6*Inputs!D8*(1+Inputs!E8)</f>
        <v>0</v>
      </c>
      <c r="G6" s="47">
        <f>MIN(1,MAX(0,Inputs!I8+Inputs!J8*Inputs!$F$42))</f>
        <v>0</v>
      </c>
      <c r="H6" s="46">
        <f>(C6-J6)*G6*Inputs!L8</f>
        <v>0</v>
      </c>
      <c r="I6" s="46">
        <f>D6*Inputs!M8</f>
        <v>0</v>
      </c>
      <c r="J6" s="45">
        <f>MAX(0,ROUND(Inputs!N8*(1+Inputs!O8*Inputs!$G$42),0))</f>
        <v>0</v>
      </c>
    </row>
    <row r="7" spans="2:10" x14ac:dyDescent="0.3">
      <c r="B7" s="40" t="str">
        <f>Inputs!B9</f>
        <v>LKG</v>
      </c>
      <c r="C7" s="45">
        <f>Inputs!C9</f>
        <v>4</v>
      </c>
      <c r="D7" s="45">
        <f>MIN(Inputs!F9,MAX(0,ROUND(Inputs!F9*Inputs!H9*Inputs!$E$42,0)))</f>
        <v>13</v>
      </c>
      <c r="E7" s="45">
        <f t="shared" si="0"/>
        <v>17</v>
      </c>
      <c r="F7" s="46">
        <f>E7*Inputs!D9*(1+Inputs!E9)</f>
        <v>3570000</v>
      </c>
      <c r="G7" s="47">
        <f>MIN(1,MAX(0,Inputs!I9+Inputs!J9*Inputs!$F$42))</f>
        <v>0</v>
      </c>
      <c r="H7" s="46">
        <f>(C7-J7)*G7*Inputs!L9</f>
        <v>0</v>
      </c>
      <c r="I7" s="46">
        <f>D7*Inputs!M9</f>
        <v>1300000</v>
      </c>
      <c r="J7" s="45">
        <f>MAX(0,ROUND(Inputs!N9*(1+Inputs!O9*Inputs!$G$42),0))</f>
        <v>0</v>
      </c>
    </row>
    <row r="8" spans="2:10" x14ac:dyDescent="0.3">
      <c r="B8" s="40" t="str">
        <f>Inputs!B10</f>
        <v>UKG</v>
      </c>
      <c r="C8" s="45">
        <f>Inputs!C10</f>
        <v>15</v>
      </c>
      <c r="D8" s="45">
        <f>MIN(Inputs!F10,MAX(0,ROUND(Inputs!F10*Inputs!H10*Inputs!$E$42,0)))</f>
        <v>8</v>
      </c>
      <c r="E8" s="45">
        <f t="shared" si="0"/>
        <v>23</v>
      </c>
      <c r="F8" s="46">
        <f>E8*Inputs!D10*(1+Inputs!E10)</f>
        <v>4623000</v>
      </c>
      <c r="G8" s="47">
        <f>MIN(1,MAX(0,Inputs!I10+Inputs!J10*Inputs!$F$42))</f>
        <v>0</v>
      </c>
      <c r="H8" s="46">
        <f>(C8-J8)*G8*Inputs!L10</f>
        <v>0</v>
      </c>
      <c r="I8" s="46">
        <f>D8*Inputs!M10</f>
        <v>800000</v>
      </c>
      <c r="J8" s="45">
        <f>MAX(0,ROUND(Inputs!N10*(1+Inputs!O10*Inputs!$G$42),0))</f>
        <v>0</v>
      </c>
    </row>
    <row r="9" spans="2:10" x14ac:dyDescent="0.3">
      <c r="B9" s="40" t="str">
        <f>Inputs!B11</f>
        <v>I</v>
      </c>
      <c r="C9" s="45">
        <f>Inputs!C11</f>
        <v>23</v>
      </c>
      <c r="D9" s="45">
        <f>MIN(Inputs!F11,MAX(0,ROUND(Inputs!F11*Inputs!H11*Inputs!$E$42,0)))</f>
        <v>8</v>
      </c>
      <c r="E9" s="45">
        <f t="shared" si="0"/>
        <v>31</v>
      </c>
      <c r="F9" s="46">
        <f>E9*Inputs!D11*(1+Inputs!E11)</f>
        <v>6727000</v>
      </c>
      <c r="G9" s="47">
        <f>MIN(1,MAX(0,Inputs!I11+Inputs!J11*Inputs!$F$42))</f>
        <v>0</v>
      </c>
      <c r="H9" s="46">
        <f>(C9-J9)*G9*Inputs!L11</f>
        <v>0</v>
      </c>
      <c r="I9" s="46">
        <f>D9*Inputs!M11</f>
        <v>800000</v>
      </c>
      <c r="J9" s="45">
        <f>MAX(0,ROUND(Inputs!N11*(1+Inputs!O11*Inputs!$G$42),0))</f>
        <v>0</v>
      </c>
    </row>
    <row r="10" spans="2:10" x14ac:dyDescent="0.3">
      <c r="B10" s="40" t="str">
        <f>Inputs!B12</f>
        <v>II</v>
      </c>
      <c r="C10" s="45">
        <f>Inputs!C12</f>
        <v>33</v>
      </c>
      <c r="D10" s="45">
        <f>MIN(Inputs!F12,MAX(0,ROUND(Inputs!F12*Inputs!H12*Inputs!$E$42,0)))</f>
        <v>0</v>
      </c>
      <c r="E10" s="45">
        <f t="shared" si="0"/>
        <v>25</v>
      </c>
      <c r="F10" s="46">
        <f>E10*Inputs!D12*(1+Inputs!E12)</f>
        <v>6510000</v>
      </c>
      <c r="G10" s="47">
        <f>MIN(1,MAX(0,Inputs!I12+Inputs!J12*Inputs!$F$42))</f>
        <v>0</v>
      </c>
      <c r="H10" s="46">
        <f>(C10-J10)*G10*Inputs!L12</f>
        <v>0</v>
      </c>
      <c r="I10" s="46">
        <f>D10*Inputs!M12</f>
        <v>0</v>
      </c>
      <c r="J10" s="45">
        <f>MAX(0,ROUND(Inputs!N12*(1+Inputs!O12*Inputs!$G$42),0))</f>
        <v>8</v>
      </c>
    </row>
    <row r="11" spans="2:10" x14ac:dyDescent="0.3">
      <c r="B11" s="40" t="str">
        <f>Inputs!B13</f>
        <v>III</v>
      </c>
      <c r="C11" s="45">
        <f>Inputs!C13</f>
        <v>34</v>
      </c>
      <c r="D11" s="45">
        <f>MIN(Inputs!F13,MAX(0,ROUND(Inputs!F13*Inputs!H13*Inputs!$E$42,0)))</f>
        <v>0</v>
      </c>
      <c r="E11" s="45">
        <f t="shared" si="0"/>
        <v>26</v>
      </c>
      <c r="F11" s="46">
        <f>E11*Inputs!D13*(1+Inputs!E13)</f>
        <v>7082400</v>
      </c>
      <c r="G11" s="47">
        <f>MIN(1,MAX(0,Inputs!I13+Inputs!J13*Inputs!$F$42))</f>
        <v>0</v>
      </c>
      <c r="H11" s="46">
        <f>(C11-J11)*G11*Inputs!L13</f>
        <v>0</v>
      </c>
      <c r="I11" s="46">
        <f>D11*Inputs!M13</f>
        <v>0</v>
      </c>
      <c r="J11" s="45">
        <f>MAX(0,ROUND(Inputs!N13*(1+Inputs!O13*Inputs!$G$42),0))</f>
        <v>8</v>
      </c>
    </row>
    <row r="12" spans="2:10" x14ac:dyDescent="0.3">
      <c r="B12" s="40" t="str">
        <f>Inputs!B14</f>
        <v>IV</v>
      </c>
      <c r="C12" s="45">
        <f>Inputs!C14</f>
        <v>32</v>
      </c>
      <c r="D12" s="45">
        <f>MIN(Inputs!F14,MAX(0,ROUND(Inputs!F14*Inputs!H14*Inputs!$E$42,0)))</f>
        <v>0</v>
      </c>
      <c r="E12" s="45">
        <f t="shared" si="0"/>
        <v>24</v>
      </c>
      <c r="F12" s="46">
        <f>E12*Inputs!D14*(1+Inputs!E14)</f>
        <v>6681600</v>
      </c>
      <c r="G12" s="47">
        <f>MIN(1,MAX(0,Inputs!I14+Inputs!J14*Inputs!$F$42))</f>
        <v>0</v>
      </c>
      <c r="H12" s="46">
        <f>(C12-J12)*G12*Inputs!L14</f>
        <v>0</v>
      </c>
      <c r="I12" s="46">
        <f>D12*Inputs!M14</f>
        <v>0</v>
      </c>
      <c r="J12" s="45">
        <f>MAX(0,ROUND(Inputs!N14*(1+Inputs!O14*Inputs!$G$42),0))</f>
        <v>8</v>
      </c>
    </row>
    <row r="13" spans="2:10" x14ac:dyDescent="0.3">
      <c r="B13" s="40" t="str">
        <f>Inputs!B15</f>
        <v>V</v>
      </c>
      <c r="C13" s="45">
        <f>Inputs!C15</f>
        <v>31</v>
      </c>
      <c r="D13" s="45">
        <f>MIN(Inputs!F15,MAX(0,ROUND(Inputs!F15*Inputs!H15*Inputs!$E$42,0)))</f>
        <v>1</v>
      </c>
      <c r="E13" s="45">
        <f t="shared" si="0"/>
        <v>24</v>
      </c>
      <c r="F13" s="46">
        <f>E13*Inputs!D15*(1+Inputs!E15)</f>
        <v>7315200</v>
      </c>
      <c r="G13" s="47">
        <f>MIN(1,MAX(0,Inputs!I15+Inputs!J15*Inputs!$F$42))</f>
        <v>0</v>
      </c>
      <c r="H13" s="46">
        <f>(C13-J13)*G13*Inputs!L15</f>
        <v>0</v>
      </c>
      <c r="I13" s="46">
        <f>D13*Inputs!M15</f>
        <v>100000</v>
      </c>
      <c r="J13" s="45">
        <f>MAX(0,ROUND(Inputs!N15*(1+Inputs!O15*Inputs!$G$42),0))</f>
        <v>8</v>
      </c>
    </row>
    <row r="14" spans="2:10" x14ac:dyDescent="0.3">
      <c r="B14" s="40" t="str">
        <f>Inputs!B16</f>
        <v>VI</v>
      </c>
      <c r="C14" s="45">
        <f>Inputs!C16</f>
        <v>31</v>
      </c>
      <c r="D14" s="45">
        <f>MIN(Inputs!F16,MAX(0,ROUND(Inputs!F16*Inputs!H16*Inputs!$E$42,0)))</f>
        <v>1</v>
      </c>
      <c r="E14" s="45">
        <f t="shared" si="0"/>
        <v>27</v>
      </c>
      <c r="F14" s="46">
        <f>E14*Inputs!D16*(1+Inputs!E16)</f>
        <v>8748000</v>
      </c>
      <c r="G14" s="47">
        <f>MIN(1,MAX(0,Inputs!I16+Inputs!J16*Inputs!$F$42))</f>
        <v>0.1</v>
      </c>
      <c r="H14" s="46">
        <f>(C14-J14)*G14*Inputs!L16</f>
        <v>520000</v>
      </c>
      <c r="I14" s="46">
        <f>D14*Inputs!M16</f>
        <v>100000</v>
      </c>
      <c r="J14" s="45">
        <f>MAX(0,ROUND(Inputs!N16*(1+Inputs!O16*Inputs!$G$42),0))</f>
        <v>5</v>
      </c>
    </row>
    <row r="15" spans="2:10" x14ac:dyDescent="0.3">
      <c r="B15" s="40" t="str">
        <f>Inputs!B17</f>
        <v>VII</v>
      </c>
      <c r="C15" s="45">
        <f>Inputs!C17</f>
        <v>27</v>
      </c>
      <c r="D15" s="45">
        <f>MIN(Inputs!F17,MAX(0,ROUND(Inputs!F17*Inputs!H17*Inputs!$E$42,0)))</f>
        <v>2</v>
      </c>
      <c r="E15" s="45">
        <f t="shared" si="0"/>
        <v>26</v>
      </c>
      <c r="F15" s="46">
        <f>E15*Inputs!D17*(1+Inputs!E17)</f>
        <v>8985600</v>
      </c>
      <c r="G15" s="47">
        <f>MIN(1,MAX(0,Inputs!I17+Inputs!J17*Inputs!$F$42))</f>
        <v>0.1</v>
      </c>
      <c r="H15" s="46">
        <f>(C15-J15)*G15*Inputs!L17</f>
        <v>480000.00000000006</v>
      </c>
      <c r="I15" s="46">
        <f>D15*Inputs!M17</f>
        <v>200000</v>
      </c>
      <c r="J15" s="45">
        <f>MAX(0,ROUND(Inputs!N17*(1+Inputs!O17*Inputs!$G$42),0))</f>
        <v>3</v>
      </c>
    </row>
    <row r="16" spans="2:10" x14ac:dyDescent="0.3">
      <c r="B16" s="40" t="str">
        <f>Inputs!B18</f>
        <v>VIII</v>
      </c>
      <c r="C16" s="45">
        <f>Inputs!C18</f>
        <v>25</v>
      </c>
      <c r="D16" s="45">
        <f>MIN(Inputs!F18,MAX(0,ROUND(Inputs!F18*Inputs!H18*Inputs!$E$42,0)))</f>
        <v>2</v>
      </c>
      <c r="E16" s="45">
        <f t="shared" si="0"/>
        <v>24</v>
      </c>
      <c r="F16" s="46">
        <f>E16*Inputs!D18*(1+Inputs!E18)</f>
        <v>8755200</v>
      </c>
      <c r="G16" s="47">
        <f>MIN(1,MAX(0,Inputs!I18+Inputs!J18*Inputs!$F$42))</f>
        <v>0.19999999999999998</v>
      </c>
      <c r="H16" s="46">
        <f>(C16-J16)*G16*Inputs!L18</f>
        <v>879999.99999999988</v>
      </c>
      <c r="I16" s="46">
        <f>D16*Inputs!M18</f>
        <v>200000</v>
      </c>
      <c r="J16" s="45">
        <f>MAX(0,ROUND(Inputs!N18*(1+Inputs!O18*Inputs!$G$42),0))</f>
        <v>3</v>
      </c>
    </row>
    <row r="17" spans="2:10" x14ac:dyDescent="0.3">
      <c r="B17" s="40" t="str">
        <f>Inputs!B19</f>
        <v>IX</v>
      </c>
      <c r="C17" s="45">
        <f>Inputs!C19</f>
        <v>26</v>
      </c>
      <c r="D17" s="45">
        <f>MIN(Inputs!F19,MAX(0,ROUND(Inputs!F19*Inputs!H19*Inputs!$E$42,0)))</f>
        <v>2</v>
      </c>
      <c r="E17" s="45">
        <f t="shared" si="0"/>
        <v>26</v>
      </c>
      <c r="F17" s="46">
        <f>E17*Inputs!D19*(1+Inputs!E19)</f>
        <v>9952800</v>
      </c>
      <c r="G17" s="47">
        <f>MIN(1,MAX(0,Inputs!I19+Inputs!J19*Inputs!$F$42))</f>
        <v>0.19999999999999998</v>
      </c>
      <c r="H17" s="46">
        <f>(C17-J17)*G17*Inputs!L19</f>
        <v>960000</v>
      </c>
      <c r="I17" s="46">
        <f>D17*Inputs!M19</f>
        <v>200000</v>
      </c>
      <c r="J17" s="45">
        <f>MAX(0,ROUND(Inputs!N19*(1+Inputs!O19*Inputs!$G$42),0))</f>
        <v>2</v>
      </c>
    </row>
    <row r="18" spans="2:10" x14ac:dyDescent="0.3">
      <c r="B18" s="40" t="str">
        <f>Inputs!B20</f>
        <v>X</v>
      </c>
      <c r="C18" s="45">
        <f>Inputs!C20</f>
        <v>30</v>
      </c>
      <c r="D18" s="45">
        <f>MIN(Inputs!F20,MAX(0,ROUND(Inputs!F20*Inputs!H20*Inputs!$E$42,0)))</f>
        <v>0</v>
      </c>
      <c r="E18" s="45">
        <f t="shared" si="0"/>
        <v>30</v>
      </c>
      <c r="F18" s="46">
        <f>E18*Inputs!D20*(1+Inputs!E20)</f>
        <v>11952000</v>
      </c>
      <c r="G18" s="47">
        <f>MIN(1,MAX(0,Inputs!I20+Inputs!J20*Inputs!$F$42))</f>
        <v>0.1</v>
      </c>
      <c r="H18" s="46">
        <f>(C18-J18)*G18*Inputs!L20</f>
        <v>600000</v>
      </c>
      <c r="I18" s="46">
        <f>D18*Inputs!M20</f>
        <v>0</v>
      </c>
      <c r="J18" s="45">
        <f>MAX(0,ROUND(Inputs!N20*(1+Inputs!O20*Inputs!$G$42),0))</f>
        <v>0</v>
      </c>
    </row>
    <row r="19" spans="2:10" x14ac:dyDescent="0.3">
      <c r="B19" s="40" t="str">
        <f>Inputs!B21</f>
        <v>AS</v>
      </c>
      <c r="C19" s="45">
        <f>Inputs!C21</f>
        <v>26</v>
      </c>
      <c r="D19" s="45">
        <f>MIN(Inputs!F21,MAX(0,ROUND(Inputs!F21*Inputs!H21*Inputs!$E$42,0)))</f>
        <v>10</v>
      </c>
      <c r="E19" s="45">
        <f t="shared" si="0"/>
        <v>36</v>
      </c>
      <c r="F19" s="46">
        <f>E19*Inputs!D21*(1+Inputs!E21)</f>
        <v>12700800</v>
      </c>
      <c r="G19" s="47">
        <f>MIN(1,MAX(0,Inputs!I21+Inputs!J21*Inputs!$F$42))</f>
        <v>0</v>
      </c>
      <c r="H19" s="46">
        <f>(C19-J19)*G19*Inputs!L21</f>
        <v>0</v>
      </c>
      <c r="I19" s="46">
        <f>D19*Inputs!M21</f>
        <v>1000000</v>
      </c>
      <c r="J19" s="45">
        <f>MAX(0,ROUND(Inputs!N21*(1+Inputs!O21*Inputs!$G$42),0))</f>
        <v>0</v>
      </c>
    </row>
    <row r="20" spans="2:10" x14ac:dyDescent="0.3">
      <c r="B20" s="40" t="str">
        <f>Inputs!B22</f>
        <v>A2</v>
      </c>
      <c r="C20" s="45">
        <f>Inputs!C22</f>
        <v>29</v>
      </c>
      <c r="D20" s="45">
        <f>MIN(Inputs!F22,MAX(0,ROUND(Inputs!F22*Inputs!H22*Inputs!$E$42,0)))</f>
        <v>1</v>
      </c>
      <c r="E20" s="45">
        <f t="shared" si="0"/>
        <v>30</v>
      </c>
      <c r="F20" s="46">
        <f>E20*Inputs!D22*(1+Inputs!E22)</f>
        <v>11016000</v>
      </c>
      <c r="G20" s="47">
        <f>MIN(1,MAX(0,Inputs!I22+Inputs!J22*Inputs!$F$42))</f>
        <v>0</v>
      </c>
      <c r="H20" s="46">
        <f>(C20-J20)*G20*Inputs!L22</f>
        <v>0</v>
      </c>
      <c r="I20" s="46">
        <f>D20*Inputs!M22</f>
        <v>100000</v>
      </c>
      <c r="J20" s="45">
        <f>MAX(0,ROUND(Inputs!N22*(1+Inputs!O22*Inputs!$G$42),0))</f>
        <v>0</v>
      </c>
    </row>
    <row r="21" spans="2:10" x14ac:dyDescent="0.3">
      <c r="B21" s="29" t="s">
        <v>61</v>
      </c>
      <c r="C21" s="42">
        <f>SUM(C6:C20)</f>
        <v>366</v>
      </c>
      <c r="D21" s="42">
        <f>SUM(D6:D20)</f>
        <v>48</v>
      </c>
      <c r="E21" s="42">
        <f>SUM(E6:E20)</f>
        <v>369</v>
      </c>
      <c r="F21" s="43">
        <f>SUM(F6:F20)</f>
        <v>114619600</v>
      </c>
      <c r="G21" s="44"/>
      <c r="H21" s="43">
        <f>SUM(H6:H20)</f>
        <v>3440000</v>
      </c>
      <c r="I21" s="43">
        <f>SUM(I6:I20)</f>
        <v>4800000</v>
      </c>
      <c r="J21" s="42">
        <f>SUM(J6:J20)</f>
        <v>45</v>
      </c>
    </row>
    <row r="24" spans="2:10" x14ac:dyDescent="0.3">
      <c r="B24" s="8" t="s">
        <v>129</v>
      </c>
      <c r="C24" s="8"/>
      <c r="D24" s="8"/>
      <c r="E24" s="8"/>
      <c r="F24" s="8"/>
      <c r="G24" s="8"/>
      <c r="H24" s="8"/>
      <c r="I24" s="8"/>
      <c r="J24" s="8"/>
    </row>
    <row r="25" spans="2:10" ht="27.75" customHeight="1" x14ac:dyDescent="0.3">
      <c r="B25" s="18" t="s">
        <v>31</v>
      </c>
      <c r="C25" s="18" t="s">
        <v>32</v>
      </c>
      <c r="D25" s="18" t="s">
        <v>119</v>
      </c>
      <c r="E25" s="18" t="s">
        <v>120</v>
      </c>
      <c r="F25" s="18" t="s">
        <v>121</v>
      </c>
      <c r="G25" s="18" t="s">
        <v>122</v>
      </c>
      <c r="H25" s="18" t="s">
        <v>123</v>
      </c>
      <c r="I25" s="18" t="s">
        <v>124</v>
      </c>
      <c r="J25" s="18" t="s">
        <v>125</v>
      </c>
    </row>
    <row r="26" spans="2:10" x14ac:dyDescent="0.3">
      <c r="B26" s="40" t="str">
        <f>Inputs!B8</f>
        <v>Pre-KG</v>
      </c>
      <c r="C26" s="45">
        <f>Inputs!C8</f>
        <v>0</v>
      </c>
      <c r="D26" s="45">
        <f>MIN(Inputs!F8,MAX(0,ROUND(Inputs!F8*Inputs!G8*Inputs!$E$43,0)))</f>
        <v>0</v>
      </c>
      <c r="E26" s="45">
        <f t="shared" ref="E26:E40" si="1">C26-J26+D26</f>
        <v>0</v>
      </c>
      <c r="F26" s="46">
        <f>E26*Inputs!D8*(1+Inputs!E8)</f>
        <v>0</v>
      </c>
      <c r="G26" s="47">
        <f>Inputs!I8</f>
        <v>0</v>
      </c>
      <c r="H26" s="46">
        <f>(C26-J26)*G26*Inputs!L8</f>
        <v>0</v>
      </c>
      <c r="I26" s="46">
        <f>D26*Inputs!M8</f>
        <v>0</v>
      </c>
      <c r="J26" s="45">
        <f>Inputs!N8</f>
        <v>0</v>
      </c>
    </row>
    <row r="27" spans="2:10" x14ac:dyDescent="0.3">
      <c r="B27" s="40" t="str">
        <f>Inputs!B9</f>
        <v>LKG</v>
      </c>
      <c r="C27" s="45">
        <f>Inputs!C9</f>
        <v>4</v>
      </c>
      <c r="D27" s="45">
        <f>MIN(Inputs!F9,MAX(0,ROUND(Inputs!F9*Inputs!G9*Inputs!$E$43,0)))</f>
        <v>18</v>
      </c>
      <c r="E27" s="45">
        <f t="shared" si="1"/>
        <v>22</v>
      </c>
      <c r="F27" s="46">
        <f>E27*Inputs!D9*(1+Inputs!E9)</f>
        <v>4620000</v>
      </c>
      <c r="G27" s="47">
        <f>Inputs!I9</f>
        <v>0</v>
      </c>
      <c r="H27" s="46">
        <f>(C27-J27)*G27*Inputs!L9</f>
        <v>0</v>
      </c>
      <c r="I27" s="46">
        <f>D27*Inputs!M9</f>
        <v>1800000</v>
      </c>
      <c r="J27" s="45">
        <f>Inputs!N9</f>
        <v>0</v>
      </c>
    </row>
    <row r="28" spans="2:10" x14ac:dyDescent="0.3">
      <c r="B28" s="40" t="str">
        <f>Inputs!B10</f>
        <v>UKG</v>
      </c>
      <c r="C28" s="45">
        <f>Inputs!C10</f>
        <v>15</v>
      </c>
      <c r="D28" s="45">
        <f>MIN(Inputs!F10,MAX(0,ROUND(Inputs!F10*Inputs!G10*Inputs!$E$43,0)))</f>
        <v>11</v>
      </c>
      <c r="E28" s="45">
        <f t="shared" si="1"/>
        <v>26</v>
      </c>
      <c r="F28" s="46">
        <f>E28*Inputs!D10*(1+Inputs!E10)</f>
        <v>5226000</v>
      </c>
      <c r="G28" s="47">
        <f>Inputs!I10</f>
        <v>0</v>
      </c>
      <c r="H28" s="46">
        <f>(C28-J28)*G28*Inputs!L10</f>
        <v>0</v>
      </c>
      <c r="I28" s="46">
        <f>D28*Inputs!M10</f>
        <v>1100000</v>
      </c>
      <c r="J28" s="45">
        <f>Inputs!N10</f>
        <v>0</v>
      </c>
    </row>
    <row r="29" spans="2:10" x14ac:dyDescent="0.3">
      <c r="B29" s="40" t="str">
        <f>Inputs!B11</f>
        <v>I</v>
      </c>
      <c r="C29" s="45">
        <f>Inputs!C11</f>
        <v>23</v>
      </c>
      <c r="D29" s="45">
        <f>MIN(Inputs!F11,MAX(0,ROUND(Inputs!F11*Inputs!G11*Inputs!$E$43,0)))</f>
        <v>11</v>
      </c>
      <c r="E29" s="45">
        <f t="shared" si="1"/>
        <v>34</v>
      </c>
      <c r="F29" s="46">
        <f>E29*Inputs!D11*(1+Inputs!E11)</f>
        <v>7378000</v>
      </c>
      <c r="G29" s="47">
        <f>Inputs!I11</f>
        <v>0</v>
      </c>
      <c r="H29" s="46">
        <f>(C29-J29)*G29*Inputs!L11</f>
        <v>0</v>
      </c>
      <c r="I29" s="46">
        <f>D29*Inputs!M11</f>
        <v>1100000</v>
      </c>
      <c r="J29" s="45">
        <f>Inputs!N11</f>
        <v>0</v>
      </c>
    </row>
    <row r="30" spans="2:10" x14ac:dyDescent="0.3">
      <c r="B30" s="40" t="str">
        <f>Inputs!B12</f>
        <v>II</v>
      </c>
      <c r="C30" s="45">
        <f>Inputs!C12</f>
        <v>33</v>
      </c>
      <c r="D30" s="45">
        <f>MIN(Inputs!F12,MAX(0,ROUND(Inputs!F12*Inputs!G12*Inputs!$E$43,0)))</f>
        <v>0</v>
      </c>
      <c r="E30" s="45">
        <f t="shared" si="1"/>
        <v>28</v>
      </c>
      <c r="F30" s="46">
        <f>E30*Inputs!D12*(1+Inputs!E12)</f>
        <v>7291200</v>
      </c>
      <c r="G30" s="47">
        <f>Inputs!I12</f>
        <v>0</v>
      </c>
      <c r="H30" s="46">
        <f>(C30-J30)*G30*Inputs!L12</f>
        <v>0</v>
      </c>
      <c r="I30" s="46">
        <f>D30*Inputs!M12</f>
        <v>0</v>
      </c>
      <c r="J30" s="45">
        <f>Inputs!N12</f>
        <v>5</v>
      </c>
    </row>
    <row r="31" spans="2:10" x14ac:dyDescent="0.3">
      <c r="B31" s="40" t="str">
        <f>Inputs!B13</f>
        <v>III</v>
      </c>
      <c r="C31" s="45">
        <f>Inputs!C13</f>
        <v>34</v>
      </c>
      <c r="D31" s="45">
        <f>MIN(Inputs!F13,MAX(0,ROUND(Inputs!F13*Inputs!G13*Inputs!$E$43,0)))</f>
        <v>0</v>
      </c>
      <c r="E31" s="45">
        <f t="shared" si="1"/>
        <v>29</v>
      </c>
      <c r="F31" s="46">
        <f>E31*Inputs!D13*(1+Inputs!E13)</f>
        <v>7899600</v>
      </c>
      <c r="G31" s="47">
        <f>Inputs!I13</f>
        <v>0</v>
      </c>
      <c r="H31" s="46">
        <f>(C31-J31)*G31*Inputs!L13</f>
        <v>0</v>
      </c>
      <c r="I31" s="46">
        <f>D31*Inputs!M13</f>
        <v>0</v>
      </c>
      <c r="J31" s="45">
        <f>Inputs!N13</f>
        <v>5</v>
      </c>
    </row>
    <row r="32" spans="2:10" x14ac:dyDescent="0.3">
      <c r="B32" s="40" t="str">
        <f>Inputs!B14</f>
        <v>IV</v>
      </c>
      <c r="C32" s="45">
        <f>Inputs!C14</f>
        <v>32</v>
      </c>
      <c r="D32" s="45">
        <f>MIN(Inputs!F14,MAX(0,ROUND(Inputs!F14*Inputs!G14*Inputs!$E$43,0)))</f>
        <v>0</v>
      </c>
      <c r="E32" s="45">
        <f t="shared" si="1"/>
        <v>27</v>
      </c>
      <c r="F32" s="46">
        <f>E32*Inputs!D14*(1+Inputs!E14)</f>
        <v>7516800</v>
      </c>
      <c r="G32" s="47">
        <f>Inputs!I14</f>
        <v>0</v>
      </c>
      <c r="H32" s="46">
        <f>(C32-J32)*G32*Inputs!L14</f>
        <v>0</v>
      </c>
      <c r="I32" s="46">
        <f>D32*Inputs!M14</f>
        <v>0</v>
      </c>
      <c r="J32" s="45">
        <f>Inputs!N14</f>
        <v>5</v>
      </c>
    </row>
    <row r="33" spans="2:10" x14ac:dyDescent="0.3">
      <c r="B33" s="40" t="str">
        <f>Inputs!B15</f>
        <v>V</v>
      </c>
      <c r="C33" s="45">
        <f>Inputs!C15</f>
        <v>31</v>
      </c>
      <c r="D33" s="45">
        <f>MIN(Inputs!F15,MAX(0,ROUND(Inputs!F15*Inputs!G15*Inputs!$E$43,0)))</f>
        <v>1</v>
      </c>
      <c r="E33" s="45">
        <f t="shared" si="1"/>
        <v>27</v>
      </c>
      <c r="F33" s="46">
        <f>E33*Inputs!D15*(1+Inputs!E15)</f>
        <v>8229600</v>
      </c>
      <c r="G33" s="47">
        <f>Inputs!I15</f>
        <v>0</v>
      </c>
      <c r="H33" s="46">
        <f>(C33-J33)*G33*Inputs!L15</f>
        <v>0</v>
      </c>
      <c r="I33" s="46">
        <f>D33*Inputs!M15</f>
        <v>100000</v>
      </c>
      <c r="J33" s="45">
        <f>Inputs!N15</f>
        <v>5</v>
      </c>
    </row>
    <row r="34" spans="2:10" x14ac:dyDescent="0.3">
      <c r="B34" s="40" t="str">
        <f>Inputs!B16</f>
        <v>VI</v>
      </c>
      <c r="C34" s="45">
        <f>Inputs!C16</f>
        <v>31</v>
      </c>
      <c r="D34" s="45">
        <f>MIN(Inputs!F16,MAX(0,ROUND(Inputs!F16*Inputs!G16*Inputs!$E$43,0)))</f>
        <v>1</v>
      </c>
      <c r="E34" s="45">
        <f t="shared" si="1"/>
        <v>29</v>
      </c>
      <c r="F34" s="46">
        <f>E34*Inputs!D16*(1+Inputs!E16)</f>
        <v>9396000</v>
      </c>
      <c r="G34" s="47">
        <f>Inputs!I16</f>
        <v>0.2</v>
      </c>
      <c r="H34" s="46">
        <f>(C34-J34)*G34*Inputs!L16</f>
        <v>1120000</v>
      </c>
      <c r="I34" s="46">
        <f>D34*Inputs!M16</f>
        <v>100000</v>
      </c>
      <c r="J34" s="45">
        <f>Inputs!N16</f>
        <v>3</v>
      </c>
    </row>
    <row r="35" spans="2:10" x14ac:dyDescent="0.3">
      <c r="B35" s="40" t="str">
        <f>Inputs!B17</f>
        <v>VII</v>
      </c>
      <c r="C35" s="45">
        <f>Inputs!C17</f>
        <v>27</v>
      </c>
      <c r="D35" s="45">
        <f>MIN(Inputs!F17,MAX(0,ROUND(Inputs!F17*Inputs!G17*Inputs!$E$43,0)))</f>
        <v>2</v>
      </c>
      <c r="E35" s="45">
        <f t="shared" si="1"/>
        <v>27</v>
      </c>
      <c r="F35" s="46">
        <f>E35*Inputs!D17*(1+Inputs!E17)</f>
        <v>9331200</v>
      </c>
      <c r="G35" s="47">
        <f>Inputs!I17</f>
        <v>0.2</v>
      </c>
      <c r="H35" s="46">
        <f>(C35-J35)*G35*Inputs!L17</f>
        <v>1000000</v>
      </c>
      <c r="I35" s="46">
        <f>D35*Inputs!M17</f>
        <v>200000</v>
      </c>
      <c r="J35" s="45">
        <f>Inputs!N17</f>
        <v>2</v>
      </c>
    </row>
    <row r="36" spans="2:10" x14ac:dyDescent="0.3">
      <c r="B36" s="40" t="str">
        <f>Inputs!B18</f>
        <v>VIII</v>
      </c>
      <c r="C36" s="45">
        <f>Inputs!C18</f>
        <v>25</v>
      </c>
      <c r="D36" s="45">
        <f>MIN(Inputs!F18,MAX(0,ROUND(Inputs!F18*Inputs!G18*Inputs!$E$43,0)))</f>
        <v>3</v>
      </c>
      <c r="E36" s="45">
        <f t="shared" si="1"/>
        <v>26</v>
      </c>
      <c r="F36" s="46">
        <f>E36*Inputs!D18*(1+Inputs!E18)</f>
        <v>9484800</v>
      </c>
      <c r="G36" s="47">
        <f>Inputs!I18</f>
        <v>0.3</v>
      </c>
      <c r="H36" s="46">
        <f>(C36-J36)*G36*Inputs!L18</f>
        <v>1380000</v>
      </c>
      <c r="I36" s="46">
        <f>D36*Inputs!M18</f>
        <v>300000</v>
      </c>
      <c r="J36" s="45">
        <f>Inputs!N18</f>
        <v>2</v>
      </c>
    </row>
    <row r="37" spans="2:10" x14ac:dyDescent="0.3">
      <c r="B37" s="40" t="str">
        <f>Inputs!B19</f>
        <v>IX</v>
      </c>
      <c r="C37" s="45">
        <f>Inputs!C19</f>
        <v>26</v>
      </c>
      <c r="D37" s="45">
        <f>MIN(Inputs!F19,MAX(0,ROUND(Inputs!F19*Inputs!G19*Inputs!$E$43,0)))</f>
        <v>3</v>
      </c>
      <c r="E37" s="45">
        <f t="shared" si="1"/>
        <v>28</v>
      </c>
      <c r="F37" s="46">
        <f>E37*Inputs!D19*(1+Inputs!E19)</f>
        <v>10718400</v>
      </c>
      <c r="G37" s="47">
        <f>Inputs!I19</f>
        <v>0.3</v>
      </c>
      <c r="H37" s="46">
        <f>(C37-J37)*G37*Inputs!L19</f>
        <v>1500000</v>
      </c>
      <c r="I37" s="46">
        <f>D37*Inputs!M19</f>
        <v>300000</v>
      </c>
      <c r="J37" s="45">
        <f>Inputs!N19</f>
        <v>1</v>
      </c>
    </row>
    <row r="38" spans="2:10" x14ac:dyDescent="0.3">
      <c r="B38" s="40" t="str">
        <f>Inputs!B20</f>
        <v>X</v>
      </c>
      <c r="C38" s="45">
        <f>Inputs!C20</f>
        <v>30</v>
      </c>
      <c r="D38" s="45">
        <f>MIN(Inputs!F20,MAX(0,ROUND(Inputs!F20*Inputs!G20*Inputs!$E$43,0)))</f>
        <v>0</v>
      </c>
      <c r="E38" s="45">
        <f t="shared" si="1"/>
        <v>30</v>
      </c>
      <c r="F38" s="46">
        <f>E38*Inputs!D20*(1+Inputs!E20)</f>
        <v>11952000</v>
      </c>
      <c r="G38" s="47">
        <f>Inputs!I20</f>
        <v>0.2</v>
      </c>
      <c r="H38" s="46">
        <f>(C38-J38)*G38*Inputs!L20</f>
        <v>1200000</v>
      </c>
      <c r="I38" s="46">
        <f>D38*Inputs!M20</f>
        <v>0</v>
      </c>
      <c r="J38" s="45">
        <f>Inputs!N20</f>
        <v>0</v>
      </c>
    </row>
    <row r="39" spans="2:10" x14ac:dyDescent="0.3">
      <c r="B39" s="40" t="str">
        <f>Inputs!B21</f>
        <v>AS</v>
      </c>
      <c r="C39" s="45">
        <f>Inputs!C21</f>
        <v>26</v>
      </c>
      <c r="D39" s="45">
        <f>MIN(Inputs!F21,MAX(0,ROUND(Inputs!F21*Inputs!G21*Inputs!$E$43,0)))</f>
        <v>17</v>
      </c>
      <c r="E39" s="45">
        <f t="shared" si="1"/>
        <v>43</v>
      </c>
      <c r="F39" s="46">
        <f>E39*Inputs!D21*(1+Inputs!E21)</f>
        <v>15170400</v>
      </c>
      <c r="G39" s="47">
        <f>Inputs!I21</f>
        <v>0.1</v>
      </c>
      <c r="H39" s="46">
        <f>(C39-J39)*G39*Inputs!L21</f>
        <v>520000</v>
      </c>
      <c r="I39" s="46">
        <f>D39*Inputs!M21</f>
        <v>1700000</v>
      </c>
      <c r="J39" s="45">
        <f>Inputs!N21</f>
        <v>0</v>
      </c>
    </row>
    <row r="40" spans="2:10" x14ac:dyDescent="0.3">
      <c r="B40" s="40" t="str">
        <f>Inputs!B22</f>
        <v>A2</v>
      </c>
      <c r="C40" s="45">
        <f>Inputs!C22</f>
        <v>29</v>
      </c>
      <c r="D40" s="45">
        <f>MIN(Inputs!F22,MAX(0,ROUND(Inputs!F22*Inputs!G22*Inputs!$E$43,0)))</f>
        <v>1</v>
      </c>
      <c r="E40" s="45">
        <f t="shared" si="1"/>
        <v>30</v>
      </c>
      <c r="F40" s="46">
        <f>E40*Inputs!D22*(1+Inputs!E22)</f>
        <v>11016000</v>
      </c>
      <c r="G40" s="47">
        <f>Inputs!I22</f>
        <v>0</v>
      </c>
      <c r="H40" s="46">
        <f>(C40-J40)*G40*Inputs!L22</f>
        <v>0</v>
      </c>
      <c r="I40" s="46">
        <f>D40*Inputs!M22</f>
        <v>100000</v>
      </c>
      <c r="J40" s="45">
        <f>Inputs!N22</f>
        <v>0</v>
      </c>
    </row>
    <row r="41" spans="2:10" x14ac:dyDescent="0.3">
      <c r="B41" s="29" t="s">
        <v>61</v>
      </c>
      <c r="C41" s="42">
        <f>SUM(C26:C40)</f>
        <v>366</v>
      </c>
      <c r="D41" s="42">
        <f>SUM(D26:D40)</f>
        <v>68</v>
      </c>
      <c r="E41" s="42">
        <f>SUM(E26:E40)</f>
        <v>406</v>
      </c>
      <c r="F41" s="43">
        <f>SUM(F26:F40)</f>
        <v>125230000</v>
      </c>
      <c r="G41" s="44"/>
      <c r="H41" s="43">
        <f>SUM(H26:H40)</f>
        <v>6720000</v>
      </c>
      <c r="I41" s="43">
        <f>SUM(I26:I40)</f>
        <v>6800000</v>
      </c>
      <c r="J41" s="42">
        <f>SUM(J26:J40)</f>
        <v>28</v>
      </c>
    </row>
    <row r="44" spans="2:10" x14ac:dyDescent="0.3">
      <c r="B44" s="8" t="s">
        <v>130</v>
      </c>
      <c r="C44" s="8"/>
      <c r="D44" s="8"/>
      <c r="E44" s="8"/>
      <c r="F44" s="8"/>
      <c r="G44" s="8"/>
      <c r="H44" s="8"/>
      <c r="I44" s="8"/>
      <c r="J44" s="8"/>
    </row>
    <row r="45" spans="2:10" ht="27.75" customHeight="1" x14ac:dyDescent="0.3">
      <c r="B45" s="18" t="s">
        <v>31</v>
      </c>
      <c r="C45" s="18" t="s">
        <v>32</v>
      </c>
      <c r="D45" s="18" t="s">
        <v>119</v>
      </c>
      <c r="E45" s="18" t="s">
        <v>120</v>
      </c>
      <c r="F45" s="18" t="s">
        <v>121</v>
      </c>
      <c r="G45" s="18" t="s">
        <v>122</v>
      </c>
      <c r="H45" s="18" t="s">
        <v>123</v>
      </c>
      <c r="I45" s="18" t="s">
        <v>124</v>
      </c>
      <c r="J45" s="18" t="s">
        <v>125</v>
      </c>
    </row>
    <row r="46" spans="2:10" x14ac:dyDescent="0.3">
      <c r="B46" s="40" t="str">
        <f>Inputs!B8</f>
        <v>Pre-KG</v>
      </c>
      <c r="C46" s="45">
        <f>Inputs!C8</f>
        <v>0</v>
      </c>
      <c r="D46" s="45">
        <f>Inputs!F8</f>
        <v>0</v>
      </c>
      <c r="E46" s="45">
        <f t="shared" ref="E46:E60" si="2">C46-J46+D46</f>
        <v>0</v>
      </c>
      <c r="F46" s="46">
        <f>E46*Inputs!D8*(1+Inputs!E8)</f>
        <v>0</v>
      </c>
      <c r="G46" s="47">
        <f>MIN(1,MAX(0,Inputs!I8+Inputs!K8*Inputs!$F$44))</f>
        <v>0</v>
      </c>
      <c r="H46" s="46">
        <f>(C46-J46)*G46*Inputs!L8</f>
        <v>0</v>
      </c>
      <c r="I46" s="46">
        <f>D46*Inputs!M8</f>
        <v>0</v>
      </c>
      <c r="J46" s="45">
        <f>MAX(0,ROUND(Inputs!N8*(1+Inputs!P8*Inputs!$G$44),0))</f>
        <v>0</v>
      </c>
    </row>
    <row r="47" spans="2:10" x14ac:dyDescent="0.3">
      <c r="B47" s="40" t="str">
        <f>Inputs!B9</f>
        <v>LKG</v>
      </c>
      <c r="C47" s="45">
        <f>Inputs!C9</f>
        <v>4</v>
      </c>
      <c r="D47" s="45">
        <f>Inputs!F9</f>
        <v>26</v>
      </c>
      <c r="E47" s="45">
        <f t="shared" si="2"/>
        <v>30</v>
      </c>
      <c r="F47" s="46">
        <f>E47*Inputs!D9*(1+Inputs!E9)</f>
        <v>6300000</v>
      </c>
      <c r="G47" s="47">
        <f>MIN(1,MAX(0,Inputs!I9+Inputs!K9*Inputs!$F$44))</f>
        <v>0</v>
      </c>
      <c r="H47" s="46">
        <f>(C47-J47)*G47*Inputs!L9</f>
        <v>0</v>
      </c>
      <c r="I47" s="46">
        <f>D47*Inputs!M9</f>
        <v>2600000</v>
      </c>
      <c r="J47" s="45">
        <f>MAX(0,ROUND(Inputs!N9*(1+Inputs!P9*Inputs!$G$44),0))</f>
        <v>0</v>
      </c>
    </row>
    <row r="48" spans="2:10" x14ac:dyDescent="0.3">
      <c r="B48" s="40" t="str">
        <f>Inputs!B10</f>
        <v>UKG</v>
      </c>
      <c r="C48" s="45">
        <f>Inputs!C10</f>
        <v>15</v>
      </c>
      <c r="D48" s="45">
        <f>Inputs!F10</f>
        <v>15</v>
      </c>
      <c r="E48" s="45">
        <f t="shared" si="2"/>
        <v>30</v>
      </c>
      <c r="F48" s="46">
        <f>E48*Inputs!D10*(1+Inputs!E10)</f>
        <v>6030000</v>
      </c>
      <c r="G48" s="47">
        <f>MIN(1,MAX(0,Inputs!I10+Inputs!K10*Inputs!$F$44))</f>
        <v>0</v>
      </c>
      <c r="H48" s="46">
        <f>(C48-J48)*G48*Inputs!L10</f>
        <v>0</v>
      </c>
      <c r="I48" s="46">
        <f>D48*Inputs!M10</f>
        <v>1500000</v>
      </c>
      <c r="J48" s="45">
        <f>MAX(0,ROUND(Inputs!N10*(1+Inputs!P10*Inputs!$G$44),0))</f>
        <v>0</v>
      </c>
    </row>
    <row r="49" spans="2:10" x14ac:dyDescent="0.3">
      <c r="B49" s="40" t="str">
        <f>Inputs!B11</f>
        <v>I</v>
      </c>
      <c r="C49" s="45">
        <f>Inputs!C11</f>
        <v>23</v>
      </c>
      <c r="D49" s="45">
        <f>Inputs!F11</f>
        <v>14</v>
      </c>
      <c r="E49" s="45">
        <f t="shared" si="2"/>
        <v>37</v>
      </c>
      <c r="F49" s="46">
        <f>E49*Inputs!D11*(1+Inputs!E11)</f>
        <v>8029000</v>
      </c>
      <c r="G49" s="47">
        <f>MIN(1,MAX(0,Inputs!I11+Inputs!K11*Inputs!$F$44))</f>
        <v>0</v>
      </c>
      <c r="H49" s="46">
        <f>(C49-J49)*G49*Inputs!L11</f>
        <v>0</v>
      </c>
      <c r="I49" s="46">
        <f>D49*Inputs!M11</f>
        <v>1400000</v>
      </c>
      <c r="J49" s="45">
        <f>MAX(0,ROUND(Inputs!N11*(1+Inputs!P11*Inputs!$G$44),0))</f>
        <v>0</v>
      </c>
    </row>
    <row r="50" spans="2:10" x14ac:dyDescent="0.3">
      <c r="B50" s="40" t="str">
        <f>Inputs!B12</f>
        <v>II</v>
      </c>
      <c r="C50" s="45">
        <f>Inputs!C12</f>
        <v>33</v>
      </c>
      <c r="D50" s="45">
        <f>Inputs!F12</f>
        <v>0</v>
      </c>
      <c r="E50" s="45">
        <f t="shared" si="2"/>
        <v>30</v>
      </c>
      <c r="F50" s="46">
        <f>E50*Inputs!D12*(1+Inputs!E12)</f>
        <v>7812000</v>
      </c>
      <c r="G50" s="47">
        <f>MIN(1,MAX(0,Inputs!I12+Inputs!K12*Inputs!$F$44))</f>
        <v>0</v>
      </c>
      <c r="H50" s="46">
        <f>(C50-J50)*G50*Inputs!L12</f>
        <v>0</v>
      </c>
      <c r="I50" s="46">
        <f>D50*Inputs!M12</f>
        <v>0</v>
      </c>
      <c r="J50" s="45">
        <f>MAX(0,ROUND(Inputs!N12*(1+Inputs!P12*Inputs!$G$44),0))</f>
        <v>3</v>
      </c>
    </row>
    <row r="51" spans="2:10" x14ac:dyDescent="0.3">
      <c r="B51" s="40" t="str">
        <f>Inputs!B13</f>
        <v>III</v>
      </c>
      <c r="C51" s="45">
        <f>Inputs!C13</f>
        <v>34</v>
      </c>
      <c r="D51" s="45">
        <f>Inputs!F13</f>
        <v>0</v>
      </c>
      <c r="E51" s="45">
        <f t="shared" si="2"/>
        <v>31</v>
      </c>
      <c r="F51" s="46">
        <f>E51*Inputs!D13*(1+Inputs!E13)</f>
        <v>8444400</v>
      </c>
      <c r="G51" s="47">
        <f>MIN(1,MAX(0,Inputs!I13+Inputs!K13*Inputs!$F$44))</f>
        <v>0</v>
      </c>
      <c r="H51" s="46">
        <f>(C51-J51)*G51*Inputs!L13</f>
        <v>0</v>
      </c>
      <c r="I51" s="46">
        <f>D51*Inputs!M13</f>
        <v>0</v>
      </c>
      <c r="J51" s="45">
        <f>MAX(0,ROUND(Inputs!N13*(1+Inputs!P13*Inputs!$G$44),0))</f>
        <v>3</v>
      </c>
    </row>
    <row r="52" spans="2:10" x14ac:dyDescent="0.3">
      <c r="B52" s="40" t="str">
        <f>Inputs!B14</f>
        <v>IV</v>
      </c>
      <c r="C52" s="45">
        <f>Inputs!C14</f>
        <v>32</v>
      </c>
      <c r="D52" s="45">
        <f>Inputs!F14</f>
        <v>0</v>
      </c>
      <c r="E52" s="45">
        <f t="shared" si="2"/>
        <v>29</v>
      </c>
      <c r="F52" s="46">
        <f>E52*Inputs!D14*(1+Inputs!E14)</f>
        <v>8073600</v>
      </c>
      <c r="G52" s="47">
        <f>MIN(1,MAX(0,Inputs!I14+Inputs!K14*Inputs!$F$44))</f>
        <v>0</v>
      </c>
      <c r="H52" s="46">
        <f>(C52-J52)*G52*Inputs!L14</f>
        <v>0</v>
      </c>
      <c r="I52" s="46">
        <f>D52*Inputs!M14</f>
        <v>0</v>
      </c>
      <c r="J52" s="45">
        <f>MAX(0,ROUND(Inputs!N14*(1+Inputs!P14*Inputs!$G$44),0))</f>
        <v>3</v>
      </c>
    </row>
    <row r="53" spans="2:10" x14ac:dyDescent="0.3">
      <c r="B53" s="40" t="str">
        <f>Inputs!B15</f>
        <v>V</v>
      </c>
      <c r="C53" s="45">
        <f>Inputs!C15</f>
        <v>31</v>
      </c>
      <c r="D53" s="45">
        <f>Inputs!F15</f>
        <v>1</v>
      </c>
      <c r="E53" s="45">
        <f t="shared" si="2"/>
        <v>29</v>
      </c>
      <c r="F53" s="46">
        <f>E53*Inputs!D15*(1+Inputs!E15)</f>
        <v>8839200</v>
      </c>
      <c r="G53" s="47">
        <f>MIN(1,MAX(0,Inputs!I15+Inputs!K15*Inputs!$F$44))</f>
        <v>0</v>
      </c>
      <c r="H53" s="46">
        <f>(C53-J53)*G53*Inputs!L15</f>
        <v>0</v>
      </c>
      <c r="I53" s="46">
        <f>D53*Inputs!M15</f>
        <v>100000</v>
      </c>
      <c r="J53" s="45">
        <f>MAX(0,ROUND(Inputs!N15*(1+Inputs!P15*Inputs!$G$44),0))</f>
        <v>3</v>
      </c>
    </row>
    <row r="54" spans="2:10" x14ac:dyDescent="0.3">
      <c r="B54" s="40" t="str">
        <f>Inputs!B16</f>
        <v>VI</v>
      </c>
      <c r="C54" s="45">
        <f>Inputs!C16</f>
        <v>31</v>
      </c>
      <c r="D54" s="45">
        <f>Inputs!F16</f>
        <v>1</v>
      </c>
      <c r="E54" s="45">
        <f t="shared" si="2"/>
        <v>30</v>
      </c>
      <c r="F54" s="46">
        <f>E54*Inputs!D16*(1+Inputs!E16)</f>
        <v>9720000</v>
      </c>
      <c r="G54" s="47">
        <f>MIN(1,MAX(0,Inputs!I16+Inputs!K16*Inputs!$F$44))</f>
        <v>0.30000000000000004</v>
      </c>
      <c r="H54" s="46">
        <f>(C54-J54)*G54*Inputs!L16</f>
        <v>1740000.0000000002</v>
      </c>
      <c r="I54" s="46">
        <f>D54*Inputs!M16</f>
        <v>100000</v>
      </c>
      <c r="J54" s="45">
        <f>MAX(0,ROUND(Inputs!N16*(1+Inputs!P16*Inputs!$G$44),0))</f>
        <v>2</v>
      </c>
    </row>
    <row r="55" spans="2:10" x14ac:dyDescent="0.3">
      <c r="B55" s="40" t="str">
        <f>Inputs!B17</f>
        <v>VII</v>
      </c>
      <c r="C55" s="45">
        <f>Inputs!C17</f>
        <v>27</v>
      </c>
      <c r="D55" s="45">
        <f>Inputs!F17</f>
        <v>3</v>
      </c>
      <c r="E55" s="45">
        <f t="shared" si="2"/>
        <v>29</v>
      </c>
      <c r="F55" s="46">
        <f>E55*Inputs!D17*(1+Inputs!E17)</f>
        <v>10022400</v>
      </c>
      <c r="G55" s="47">
        <f>MIN(1,MAX(0,Inputs!I17+Inputs!K17*Inputs!$F$44))</f>
        <v>0.30000000000000004</v>
      </c>
      <c r="H55" s="46">
        <f>(C55-J55)*G55*Inputs!L17</f>
        <v>1560000.0000000002</v>
      </c>
      <c r="I55" s="46">
        <f>D55*Inputs!M17</f>
        <v>300000</v>
      </c>
      <c r="J55" s="45">
        <f>MAX(0,ROUND(Inputs!N17*(1+Inputs!P17*Inputs!$G$44),0))</f>
        <v>1</v>
      </c>
    </row>
    <row r="56" spans="2:10" x14ac:dyDescent="0.3">
      <c r="B56" s="40" t="str">
        <f>Inputs!B18</f>
        <v>VIII</v>
      </c>
      <c r="C56" s="45">
        <f>Inputs!C18</f>
        <v>25</v>
      </c>
      <c r="D56" s="45">
        <f>Inputs!F18</f>
        <v>5</v>
      </c>
      <c r="E56" s="45">
        <f t="shared" si="2"/>
        <v>29</v>
      </c>
      <c r="F56" s="46">
        <f>E56*Inputs!D18*(1+Inputs!E18)</f>
        <v>10579200</v>
      </c>
      <c r="G56" s="47">
        <f>MIN(1,MAX(0,Inputs!I18+Inputs!K18*Inputs!$F$44))</f>
        <v>0.4</v>
      </c>
      <c r="H56" s="46">
        <f>(C56-J56)*G56*Inputs!L18</f>
        <v>1920000.0000000002</v>
      </c>
      <c r="I56" s="46">
        <f>D56*Inputs!M18</f>
        <v>500000</v>
      </c>
      <c r="J56" s="45">
        <f>MAX(0,ROUND(Inputs!N18*(1+Inputs!P18*Inputs!$G$44),0))</f>
        <v>1</v>
      </c>
    </row>
    <row r="57" spans="2:10" x14ac:dyDescent="0.3">
      <c r="B57" s="40" t="str">
        <f>Inputs!B19</f>
        <v>IX</v>
      </c>
      <c r="C57" s="45">
        <f>Inputs!C19</f>
        <v>26</v>
      </c>
      <c r="D57" s="45">
        <f>Inputs!F19</f>
        <v>4</v>
      </c>
      <c r="E57" s="45">
        <f t="shared" si="2"/>
        <v>29</v>
      </c>
      <c r="F57" s="46">
        <f>E57*Inputs!D19*(1+Inputs!E19)</f>
        <v>11101200</v>
      </c>
      <c r="G57" s="47">
        <f>MIN(1,MAX(0,Inputs!I19+Inputs!K19*Inputs!$F$44))</f>
        <v>0.4</v>
      </c>
      <c r="H57" s="46">
        <f>(C57-J57)*G57*Inputs!L19</f>
        <v>2000000</v>
      </c>
      <c r="I57" s="46">
        <f>D57*Inputs!M19</f>
        <v>400000</v>
      </c>
      <c r="J57" s="45">
        <f>MAX(0,ROUND(Inputs!N19*(1+Inputs!P19*Inputs!$G$44),0))</f>
        <v>1</v>
      </c>
    </row>
    <row r="58" spans="2:10" x14ac:dyDescent="0.3">
      <c r="B58" s="40" t="str">
        <f>Inputs!B20</f>
        <v>X</v>
      </c>
      <c r="C58" s="45">
        <f>Inputs!C20</f>
        <v>30</v>
      </c>
      <c r="D58" s="45">
        <f>Inputs!F20</f>
        <v>0</v>
      </c>
      <c r="E58" s="45">
        <f t="shared" si="2"/>
        <v>30</v>
      </c>
      <c r="F58" s="46">
        <f>E58*Inputs!D20*(1+Inputs!E20)</f>
        <v>11952000</v>
      </c>
      <c r="G58" s="47">
        <f>MIN(1,MAX(0,Inputs!I20+Inputs!K20*Inputs!$F$44))</f>
        <v>0.30000000000000004</v>
      </c>
      <c r="H58" s="46">
        <f>(C58-J58)*G58*Inputs!L20</f>
        <v>1800000.0000000005</v>
      </c>
      <c r="I58" s="46">
        <f>D58*Inputs!M20</f>
        <v>0</v>
      </c>
      <c r="J58" s="45">
        <f>MAX(0,ROUND(Inputs!N20*(1+Inputs!P20*Inputs!$G$44),0))</f>
        <v>0</v>
      </c>
    </row>
    <row r="59" spans="2:10" x14ac:dyDescent="0.3">
      <c r="B59" s="40" t="str">
        <f>Inputs!B21</f>
        <v>AS</v>
      </c>
      <c r="C59" s="45">
        <f>Inputs!C21</f>
        <v>26</v>
      </c>
      <c r="D59" s="45">
        <f>Inputs!F21</f>
        <v>34</v>
      </c>
      <c r="E59" s="45">
        <f t="shared" si="2"/>
        <v>60</v>
      </c>
      <c r="F59" s="46">
        <f>E59*Inputs!D21*(1+Inputs!E21)</f>
        <v>21168000</v>
      </c>
      <c r="G59" s="47">
        <f>MIN(1,MAX(0,Inputs!I21+Inputs!K21*Inputs!$F$44))</f>
        <v>0.2</v>
      </c>
      <c r="H59" s="46">
        <f>(C59-J59)*G59*Inputs!L21</f>
        <v>1040000</v>
      </c>
      <c r="I59" s="46">
        <f>D59*Inputs!M21</f>
        <v>3400000</v>
      </c>
      <c r="J59" s="45">
        <f>MAX(0,ROUND(Inputs!N21*(1+Inputs!P21*Inputs!$G$44),0))</f>
        <v>0</v>
      </c>
    </row>
    <row r="60" spans="2:10" x14ac:dyDescent="0.3">
      <c r="B60" s="40" t="str">
        <f>Inputs!B22</f>
        <v>A2</v>
      </c>
      <c r="C60" s="45">
        <f>Inputs!C22</f>
        <v>29</v>
      </c>
      <c r="D60" s="45">
        <f>Inputs!F22</f>
        <v>1</v>
      </c>
      <c r="E60" s="45">
        <f t="shared" si="2"/>
        <v>30</v>
      </c>
      <c r="F60" s="46">
        <f>E60*Inputs!D22*(1+Inputs!E22)</f>
        <v>11016000</v>
      </c>
      <c r="G60" s="47">
        <f>MIN(1,MAX(0,Inputs!I22+Inputs!K22*Inputs!$F$44))</f>
        <v>0</v>
      </c>
      <c r="H60" s="46">
        <f>(C60-J60)*G60*Inputs!L22</f>
        <v>0</v>
      </c>
      <c r="I60" s="46">
        <f>D60*Inputs!M22</f>
        <v>100000</v>
      </c>
      <c r="J60" s="45">
        <f>MAX(0,ROUND(Inputs!N22*(1+Inputs!P22*Inputs!$G$44),0))</f>
        <v>0</v>
      </c>
    </row>
    <row r="61" spans="2:10" x14ac:dyDescent="0.3">
      <c r="B61" s="29" t="s">
        <v>61</v>
      </c>
      <c r="C61" s="42">
        <f>SUM(C46:C60)</f>
        <v>366</v>
      </c>
      <c r="D61" s="42">
        <f>SUM(D46:D60)</f>
        <v>104</v>
      </c>
      <c r="E61" s="42">
        <f>SUM(E46:E60)</f>
        <v>453</v>
      </c>
      <c r="F61" s="43">
        <f>SUM(F46:F60)</f>
        <v>139087000</v>
      </c>
      <c r="G61" s="44"/>
      <c r="H61" s="43">
        <f>SUM(H46:H60)</f>
        <v>10060000.000000002</v>
      </c>
      <c r="I61" s="43">
        <f>SUM(I46:I60)</f>
        <v>10400000</v>
      </c>
      <c r="J61" s="42">
        <f>SUM(J46:J60)</f>
        <v>17</v>
      </c>
    </row>
    <row r="64" spans="2:10" x14ac:dyDescent="0.3">
      <c r="B64" s="8" t="s">
        <v>131</v>
      </c>
      <c r="C64" s="8"/>
      <c r="D64" s="8"/>
      <c r="E64" s="8"/>
      <c r="F64" s="8"/>
      <c r="G64" s="8"/>
      <c r="H64" s="8"/>
      <c r="I64" s="8"/>
    </row>
    <row r="65" spans="2:9" ht="27.75" customHeight="1" x14ac:dyDescent="0.3">
      <c r="B65" s="18" t="s">
        <v>31</v>
      </c>
      <c r="C65" s="18" t="s">
        <v>32</v>
      </c>
      <c r="D65" s="18" t="s">
        <v>132</v>
      </c>
      <c r="E65" s="18" t="s">
        <v>133</v>
      </c>
      <c r="F65" s="18" t="s">
        <v>134</v>
      </c>
      <c r="G65" s="18" t="s">
        <v>135</v>
      </c>
      <c r="H65" s="18" t="s">
        <v>136</v>
      </c>
      <c r="I65" s="18" t="s">
        <v>137</v>
      </c>
    </row>
    <row r="66" spans="2:9" x14ac:dyDescent="0.3">
      <c r="B66" s="40" t="str">
        <f>Inputs!B8</f>
        <v>Pre-KG</v>
      </c>
      <c r="C66" s="45">
        <f>Inputs!C8</f>
        <v>0</v>
      </c>
      <c r="D66" s="47">
        <f>Inputs!E8</f>
        <v>0</v>
      </c>
      <c r="E66" s="46">
        <f>Inputs!D8</f>
        <v>0</v>
      </c>
      <c r="F66" s="47">
        <f t="shared" ref="F66:F80" si="3">IFERROR(D66/(1+D66),0)</f>
        <v>0</v>
      </c>
      <c r="G66" s="45">
        <f t="shared" ref="G66:G80" si="4">ROUND(C66*F66,0)</f>
        <v>0</v>
      </c>
      <c r="H66" s="46">
        <f t="shared" ref="H66:H80" si="5">C66*E66</f>
        <v>0</v>
      </c>
      <c r="I66" s="46">
        <f t="shared" ref="I66:I80" si="6">(C66-G66)*E66*(1+D66)</f>
        <v>0</v>
      </c>
    </row>
    <row r="67" spans="2:9" x14ac:dyDescent="0.3">
      <c r="B67" s="40" t="str">
        <f>Inputs!B9</f>
        <v>LKG</v>
      </c>
      <c r="C67" s="45">
        <f>Inputs!C9</f>
        <v>4</v>
      </c>
      <c r="D67" s="47">
        <f>Inputs!E9</f>
        <v>0</v>
      </c>
      <c r="E67" s="46">
        <f>Inputs!D9</f>
        <v>210000</v>
      </c>
      <c r="F67" s="47">
        <f t="shared" si="3"/>
        <v>0</v>
      </c>
      <c r="G67" s="45">
        <f t="shared" si="4"/>
        <v>0</v>
      </c>
      <c r="H67" s="46">
        <f t="shared" si="5"/>
        <v>840000</v>
      </c>
      <c r="I67" s="46">
        <f t="shared" si="6"/>
        <v>840000</v>
      </c>
    </row>
    <row r="68" spans="2:9" x14ac:dyDescent="0.3">
      <c r="B68" s="40" t="str">
        <f>Inputs!B10</f>
        <v>UKG</v>
      </c>
      <c r="C68" s="45">
        <f>Inputs!C10</f>
        <v>15</v>
      </c>
      <c r="D68" s="47">
        <f>Inputs!E10</f>
        <v>0</v>
      </c>
      <c r="E68" s="46">
        <f>Inputs!D10</f>
        <v>201000</v>
      </c>
      <c r="F68" s="47">
        <f t="shared" si="3"/>
        <v>0</v>
      </c>
      <c r="G68" s="45">
        <f t="shared" si="4"/>
        <v>0</v>
      </c>
      <c r="H68" s="46">
        <f t="shared" si="5"/>
        <v>3015000</v>
      </c>
      <c r="I68" s="46">
        <f t="shared" si="6"/>
        <v>3015000</v>
      </c>
    </row>
    <row r="69" spans="2:9" x14ac:dyDescent="0.3">
      <c r="B69" s="40" t="str">
        <f>Inputs!B11</f>
        <v>I</v>
      </c>
      <c r="C69" s="45">
        <f>Inputs!C11</f>
        <v>23</v>
      </c>
      <c r="D69" s="47">
        <f>Inputs!E11</f>
        <v>0</v>
      </c>
      <c r="E69" s="46">
        <f>Inputs!D11</f>
        <v>217000</v>
      </c>
      <c r="F69" s="47">
        <f t="shared" si="3"/>
        <v>0</v>
      </c>
      <c r="G69" s="45">
        <f t="shared" si="4"/>
        <v>0</v>
      </c>
      <c r="H69" s="46">
        <f t="shared" si="5"/>
        <v>4991000</v>
      </c>
      <c r="I69" s="46">
        <f t="shared" si="6"/>
        <v>4991000</v>
      </c>
    </row>
    <row r="70" spans="2:9" x14ac:dyDescent="0.3">
      <c r="B70" s="40" t="str">
        <f>Inputs!B12</f>
        <v>II</v>
      </c>
      <c r="C70" s="45">
        <f>Inputs!C12</f>
        <v>33</v>
      </c>
      <c r="D70" s="47">
        <f>Inputs!E12</f>
        <v>0.2</v>
      </c>
      <c r="E70" s="46">
        <f>Inputs!D12</f>
        <v>217000</v>
      </c>
      <c r="F70" s="47">
        <f t="shared" si="3"/>
        <v>0.16666666666666669</v>
      </c>
      <c r="G70" s="45">
        <f t="shared" si="4"/>
        <v>6</v>
      </c>
      <c r="H70" s="46">
        <f t="shared" si="5"/>
        <v>7161000</v>
      </c>
      <c r="I70" s="46">
        <f t="shared" si="6"/>
        <v>7030800</v>
      </c>
    </row>
    <row r="71" spans="2:9" x14ac:dyDescent="0.3">
      <c r="B71" s="40" t="str">
        <f>Inputs!B13</f>
        <v>III</v>
      </c>
      <c r="C71" s="45">
        <f>Inputs!C13</f>
        <v>34</v>
      </c>
      <c r="D71" s="47">
        <f>Inputs!E13</f>
        <v>0.2</v>
      </c>
      <c r="E71" s="46">
        <f>Inputs!D13</f>
        <v>227000</v>
      </c>
      <c r="F71" s="47">
        <f t="shared" si="3"/>
        <v>0.16666666666666669</v>
      </c>
      <c r="G71" s="45">
        <f t="shared" si="4"/>
        <v>6</v>
      </c>
      <c r="H71" s="46">
        <f t="shared" si="5"/>
        <v>7718000</v>
      </c>
      <c r="I71" s="46">
        <f t="shared" si="6"/>
        <v>7627200</v>
      </c>
    </row>
    <row r="72" spans="2:9" x14ac:dyDescent="0.3">
      <c r="B72" s="40" t="str">
        <f>Inputs!B14</f>
        <v>IV</v>
      </c>
      <c r="C72" s="45">
        <f>Inputs!C14</f>
        <v>32</v>
      </c>
      <c r="D72" s="47">
        <f>Inputs!E14</f>
        <v>0.2</v>
      </c>
      <c r="E72" s="46">
        <f>Inputs!D14</f>
        <v>232000</v>
      </c>
      <c r="F72" s="47">
        <f t="shared" si="3"/>
        <v>0.16666666666666669</v>
      </c>
      <c r="G72" s="45">
        <f t="shared" si="4"/>
        <v>5</v>
      </c>
      <c r="H72" s="46">
        <f t="shared" si="5"/>
        <v>7424000</v>
      </c>
      <c r="I72" s="46">
        <f t="shared" si="6"/>
        <v>7516800</v>
      </c>
    </row>
    <row r="73" spans="2:9" x14ac:dyDescent="0.3">
      <c r="B73" s="40" t="str">
        <f>Inputs!B15</f>
        <v>V</v>
      </c>
      <c r="C73" s="45">
        <f>Inputs!C15</f>
        <v>31</v>
      </c>
      <c r="D73" s="47">
        <f>Inputs!E15</f>
        <v>0.2</v>
      </c>
      <c r="E73" s="46">
        <f>Inputs!D15</f>
        <v>254000</v>
      </c>
      <c r="F73" s="47">
        <f t="shared" si="3"/>
        <v>0.16666666666666669</v>
      </c>
      <c r="G73" s="45">
        <f t="shared" si="4"/>
        <v>5</v>
      </c>
      <c r="H73" s="46">
        <f t="shared" si="5"/>
        <v>7874000</v>
      </c>
      <c r="I73" s="46">
        <f t="shared" si="6"/>
        <v>7924800</v>
      </c>
    </row>
    <row r="74" spans="2:9" x14ac:dyDescent="0.3">
      <c r="B74" s="40" t="str">
        <f>Inputs!B16</f>
        <v>VI</v>
      </c>
      <c r="C74" s="45">
        <f>Inputs!C16</f>
        <v>31</v>
      </c>
      <c r="D74" s="47">
        <f>Inputs!E16</f>
        <v>0.2</v>
      </c>
      <c r="E74" s="46">
        <f>Inputs!D16</f>
        <v>270000</v>
      </c>
      <c r="F74" s="47">
        <f t="shared" si="3"/>
        <v>0.16666666666666669</v>
      </c>
      <c r="G74" s="45">
        <f t="shared" si="4"/>
        <v>5</v>
      </c>
      <c r="H74" s="46">
        <f t="shared" si="5"/>
        <v>8370000</v>
      </c>
      <c r="I74" s="46">
        <f t="shared" si="6"/>
        <v>8424000</v>
      </c>
    </row>
    <row r="75" spans="2:9" x14ac:dyDescent="0.3">
      <c r="B75" s="40" t="str">
        <f>Inputs!B17</f>
        <v>VII</v>
      </c>
      <c r="C75" s="45">
        <f>Inputs!C17</f>
        <v>27</v>
      </c>
      <c r="D75" s="47">
        <f>Inputs!E17</f>
        <v>0.2</v>
      </c>
      <c r="E75" s="46">
        <f>Inputs!D17</f>
        <v>288000</v>
      </c>
      <c r="F75" s="47">
        <f t="shared" si="3"/>
        <v>0.16666666666666669</v>
      </c>
      <c r="G75" s="45">
        <f t="shared" si="4"/>
        <v>5</v>
      </c>
      <c r="H75" s="46">
        <f t="shared" si="5"/>
        <v>7776000</v>
      </c>
      <c r="I75" s="46">
        <f t="shared" si="6"/>
        <v>7603200</v>
      </c>
    </row>
    <row r="76" spans="2:9" x14ac:dyDescent="0.3">
      <c r="B76" s="40" t="str">
        <f>Inputs!B18</f>
        <v>VIII</v>
      </c>
      <c r="C76" s="45">
        <f>Inputs!C18</f>
        <v>25</v>
      </c>
      <c r="D76" s="47">
        <f>Inputs!E18</f>
        <v>0.2</v>
      </c>
      <c r="E76" s="46">
        <f>Inputs!D18</f>
        <v>304000</v>
      </c>
      <c r="F76" s="47">
        <f t="shared" si="3"/>
        <v>0.16666666666666669</v>
      </c>
      <c r="G76" s="45">
        <f t="shared" si="4"/>
        <v>4</v>
      </c>
      <c r="H76" s="46">
        <f t="shared" si="5"/>
        <v>7600000</v>
      </c>
      <c r="I76" s="46">
        <f t="shared" si="6"/>
        <v>7660800</v>
      </c>
    </row>
    <row r="77" spans="2:9" x14ac:dyDescent="0.3">
      <c r="B77" s="40" t="str">
        <f>Inputs!B19</f>
        <v>IX</v>
      </c>
      <c r="C77" s="45">
        <f>Inputs!C19</f>
        <v>26</v>
      </c>
      <c r="D77" s="47">
        <f>Inputs!E19</f>
        <v>0.2</v>
      </c>
      <c r="E77" s="46">
        <f>Inputs!D19</f>
        <v>319000</v>
      </c>
      <c r="F77" s="47">
        <f t="shared" si="3"/>
        <v>0.16666666666666669</v>
      </c>
      <c r="G77" s="45">
        <f t="shared" si="4"/>
        <v>4</v>
      </c>
      <c r="H77" s="46">
        <f t="shared" si="5"/>
        <v>8294000</v>
      </c>
      <c r="I77" s="46">
        <f t="shared" si="6"/>
        <v>8421600</v>
      </c>
    </row>
    <row r="78" spans="2:9" x14ac:dyDescent="0.3">
      <c r="B78" s="40" t="str">
        <f>Inputs!B20</f>
        <v>X</v>
      </c>
      <c r="C78" s="45">
        <f>Inputs!C20</f>
        <v>30</v>
      </c>
      <c r="D78" s="47">
        <f>Inputs!E20</f>
        <v>0.2</v>
      </c>
      <c r="E78" s="46">
        <f>Inputs!D20</f>
        <v>332000</v>
      </c>
      <c r="F78" s="47">
        <f t="shared" si="3"/>
        <v>0.16666666666666669</v>
      </c>
      <c r="G78" s="45">
        <f t="shared" si="4"/>
        <v>5</v>
      </c>
      <c r="H78" s="46">
        <f t="shared" si="5"/>
        <v>9960000</v>
      </c>
      <c r="I78" s="46">
        <f t="shared" si="6"/>
        <v>9960000</v>
      </c>
    </row>
    <row r="79" spans="2:9" x14ac:dyDescent="0.3">
      <c r="B79" s="40" t="str">
        <f>Inputs!B21</f>
        <v>AS</v>
      </c>
      <c r="C79" s="45">
        <f>Inputs!C21</f>
        <v>26</v>
      </c>
      <c r="D79" s="47">
        <f>Inputs!E21</f>
        <v>0.2</v>
      </c>
      <c r="E79" s="46">
        <f>Inputs!D21</f>
        <v>294000</v>
      </c>
      <c r="F79" s="47">
        <f t="shared" si="3"/>
        <v>0.16666666666666669</v>
      </c>
      <c r="G79" s="45">
        <f t="shared" si="4"/>
        <v>4</v>
      </c>
      <c r="H79" s="46">
        <f t="shared" si="5"/>
        <v>7644000</v>
      </c>
      <c r="I79" s="46">
        <f t="shared" si="6"/>
        <v>7761600</v>
      </c>
    </row>
    <row r="80" spans="2:9" x14ac:dyDescent="0.3">
      <c r="B80" s="40" t="str">
        <f>Inputs!B22</f>
        <v>A2</v>
      </c>
      <c r="C80" s="45">
        <f>Inputs!C22</f>
        <v>29</v>
      </c>
      <c r="D80" s="47">
        <f>Inputs!E22</f>
        <v>0.2</v>
      </c>
      <c r="E80" s="46">
        <f>Inputs!D22</f>
        <v>306000</v>
      </c>
      <c r="F80" s="47">
        <f t="shared" si="3"/>
        <v>0.16666666666666669</v>
      </c>
      <c r="G80" s="45">
        <f t="shared" si="4"/>
        <v>5</v>
      </c>
      <c r="H80" s="46">
        <f t="shared" si="5"/>
        <v>8874000</v>
      </c>
      <c r="I80" s="46">
        <f t="shared" si="6"/>
        <v>8812800</v>
      </c>
    </row>
    <row r="81" spans="2:9" x14ac:dyDescent="0.3">
      <c r="B81" s="29" t="s">
        <v>61</v>
      </c>
      <c r="C81" s="42">
        <f>SUM(C66:C80)</f>
        <v>366</v>
      </c>
      <c r="D81" s="44"/>
      <c r="E81" s="44"/>
      <c r="F81" s="44"/>
      <c r="G81" s="42">
        <f>SUM(G66:G80)</f>
        <v>54</v>
      </c>
      <c r="H81" s="43">
        <f>SUM(H66:H80)</f>
        <v>97541000</v>
      </c>
      <c r="I81" s="43">
        <f>SUM(I66:I80)</f>
        <v>97589600</v>
      </c>
    </row>
    <row r="84" spans="2:9" x14ac:dyDescent="0.3">
      <c r="B84" s="8" t="s">
        <v>138</v>
      </c>
      <c r="C84" s="8"/>
      <c r="D84" s="8"/>
      <c r="E84" s="8"/>
    </row>
    <row r="85" spans="2:9" x14ac:dyDescent="0.3">
      <c r="B85" s="35" t="s">
        <v>100</v>
      </c>
      <c r="C85" s="35" t="s">
        <v>84</v>
      </c>
      <c r="D85" s="35" t="s">
        <v>27</v>
      </c>
      <c r="E85" s="35" t="s">
        <v>85</v>
      </c>
    </row>
    <row r="86" spans="2:9" x14ac:dyDescent="0.3">
      <c r="B86" s="27" t="s">
        <v>101</v>
      </c>
      <c r="C86" s="45">
        <f>D21</f>
        <v>48</v>
      </c>
      <c r="D86" s="45">
        <f>D41</f>
        <v>68</v>
      </c>
      <c r="E86" s="45">
        <f>D61</f>
        <v>104</v>
      </c>
    </row>
    <row r="87" spans="2:9" x14ac:dyDescent="0.3">
      <c r="B87" s="27" t="s">
        <v>102</v>
      </c>
      <c r="C87" s="45">
        <f>J21</f>
        <v>45</v>
      </c>
      <c r="D87" s="45">
        <f>J41</f>
        <v>28</v>
      </c>
      <c r="E87" s="45">
        <f>J61</f>
        <v>17</v>
      </c>
    </row>
    <row r="88" spans="2:9" x14ac:dyDescent="0.3">
      <c r="B88" s="27" t="s">
        <v>103</v>
      </c>
      <c r="C88" s="45">
        <f>E21</f>
        <v>369</v>
      </c>
      <c r="D88" s="45">
        <f>E41</f>
        <v>406</v>
      </c>
      <c r="E88" s="45">
        <f>E61</f>
        <v>453</v>
      </c>
    </row>
    <row r="89" spans="2:9" x14ac:dyDescent="0.3">
      <c r="B89" s="27" t="s">
        <v>104</v>
      </c>
      <c r="C89" s="46">
        <f>F21</f>
        <v>114619600</v>
      </c>
      <c r="D89" s="46">
        <f>F41</f>
        <v>125230000</v>
      </c>
      <c r="E89" s="46">
        <f>F61</f>
        <v>139087000</v>
      </c>
    </row>
    <row r="90" spans="2:9" x14ac:dyDescent="0.3">
      <c r="B90" s="27" t="s">
        <v>139</v>
      </c>
      <c r="C90" s="41">
        <f>Inputs!$C$42</f>
        <v>0.92</v>
      </c>
      <c r="D90" s="41">
        <f>Inputs!$C$43</f>
        <v>0.97</v>
      </c>
      <c r="E90" s="41">
        <f>Inputs!$C$44</f>
        <v>0.99</v>
      </c>
    </row>
    <row r="91" spans="2:9" x14ac:dyDescent="0.3">
      <c r="B91" s="27" t="s">
        <v>105</v>
      </c>
      <c r="C91" s="46">
        <f>C89*C90</f>
        <v>105450032</v>
      </c>
      <c r="D91" s="46">
        <f>D89*D90</f>
        <v>121473100</v>
      </c>
      <c r="E91" s="46">
        <f>E89*E90</f>
        <v>137696130</v>
      </c>
    </row>
    <row r="92" spans="2:9" x14ac:dyDescent="0.3">
      <c r="B92" s="27" t="s">
        <v>106</v>
      </c>
      <c r="C92" s="46">
        <f>H21</f>
        <v>3440000</v>
      </c>
      <c r="D92" s="46">
        <f>H41</f>
        <v>6720000</v>
      </c>
      <c r="E92" s="46">
        <f>H61</f>
        <v>10060000.000000002</v>
      </c>
    </row>
    <row r="93" spans="2:9" x14ac:dyDescent="0.3">
      <c r="B93" s="27" t="s">
        <v>107</v>
      </c>
      <c r="C93" s="46">
        <f>I21</f>
        <v>4800000</v>
      </c>
      <c r="D93" s="46">
        <f>I41</f>
        <v>6800000</v>
      </c>
      <c r="E93" s="46">
        <f>I61</f>
        <v>10400000</v>
      </c>
    </row>
    <row r="94" spans="2:9" x14ac:dyDescent="0.3">
      <c r="B94" s="29" t="s">
        <v>108</v>
      </c>
      <c r="C94" s="43">
        <f>C91+C92+C93</f>
        <v>113690032</v>
      </c>
      <c r="D94" s="43">
        <f>D91+D92+D93</f>
        <v>134993100</v>
      </c>
      <c r="E94" s="43">
        <f>E91+E92+E93</f>
        <v>158156130</v>
      </c>
    </row>
    <row r="96" spans="2:9" x14ac:dyDescent="0.3">
      <c r="B96" s="27" t="s">
        <v>140</v>
      </c>
      <c r="C96" s="37">
        <f>Inputs!$C$37</f>
        <v>117160418.33333333</v>
      </c>
      <c r="D96" s="37">
        <f>Inputs!$C$37</f>
        <v>117160418.33333333</v>
      </c>
      <c r="E96" s="37">
        <f>Inputs!$C$37</f>
        <v>117160418.33333333</v>
      </c>
    </row>
    <row r="97" spans="2:5" x14ac:dyDescent="0.3">
      <c r="B97" s="27" t="s">
        <v>141</v>
      </c>
      <c r="C97" s="41">
        <f>Inputs!$D$42</f>
        <v>0.03</v>
      </c>
      <c r="D97" s="41">
        <f>Inputs!$D$43</f>
        <v>0</v>
      </c>
      <c r="E97" s="41">
        <f>Inputs!$D$44</f>
        <v>-0.02</v>
      </c>
    </row>
    <row r="98" spans="2:5" x14ac:dyDescent="0.3">
      <c r="B98" s="29" t="s">
        <v>109</v>
      </c>
      <c r="C98" s="43">
        <f>C96*(1+C97)</f>
        <v>120675230.88333333</v>
      </c>
      <c r="D98" s="43">
        <f>D96*(1+D97)</f>
        <v>117160418.33333333</v>
      </c>
      <c r="E98" s="43">
        <f>E96*(1+E97)</f>
        <v>114817209.96666665</v>
      </c>
    </row>
    <row r="99" spans="2:5" x14ac:dyDescent="0.3">
      <c r="B99" s="29" t="s">
        <v>110</v>
      </c>
      <c r="C99" s="43">
        <f>C94-C98</f>
        <v>-6985198.8833333254</v>
      </c>
      <c r="D99" s="43">
        <f>D94-D98</f>
        <v>17832681.666666672</v>
      </c>
      <c r="E99" s="43">
        <f>E94-E98</f>
        <v>43338920.033333346</v>
      </c>
    </row>
    <row r="101" spans="2:5" x14ac:dyDescent="0.3">
      <c r="B101" s="27" t="s">
        <v>142</v>
      </c>
      <c r="C101" s="46">
        <f>C89</f>
        <v>114619600</v>
      </c>
      <c r="D101" s="46">
        <f>D89</f>
        <v>125230000</v>
      </c>
      <c r="E101" s="46">
        <f>E89</f>
        <v>139087000</v>
      </c>
    </row>
    <row r="102" spans="2:5" x14ac:dyDescent="0.3">
      <c r="B102" s="27" t="s">
        <v>143</v>
      </c>
      <c r="C102" s="46">
        <f>IF(Inputs!$J$4="No",C93,0)</f>
        <v>0</v>
      </c>
      <c r="D102" s="46">
        <f>IF(Inputs!$J$4="No",D93,0)</f>
        <v>0</v>
      </c>
      <c r="E102" s="46">
        <f>IF(Inputs!$J$4="No",E93,0)</f>
        <v>0</v>
      </c>
    </row>
    <row r="103" spans="2:5" x14ac:dyDescent="0.3">
      <c r="B103" s="29" t="s">
        <v>144</v>
      </c>
      <c r="C103" s="43">
        <f>C101+C102</f>
        <v>114619600</v>
      </c>
      <c r="D103" s="43">
        <f>D101+D102</f>
        <v>125230000</v>
      </c>
      <c r="E103" s="43">
        <f>E101+E102</f>
        <v>139087000</v>
      </c>
    </row>
    <row r="104" spans="2:5" x14ac:dyDescent="0.3">
      <c r="B104" s="27" t="s">
        <v>145</v>
      </c>
      <c r="C104" s="46">
        <f>C98</f>
        <v>120675230.88333333</v>
      </c>
      <c r="D104" s="46">
        <f>D98</f>
        <v>117160418.33333333</v>
      </c>
      <c r="E104" s="46">
        <f>E98</f>
        <v>114817209.96666665</v>
      </c>
    </row>
    <row r="105" spans="2:5" x14ac:dyDescent="0.3">
      <c r="B105" s="29" t="s">
        <v>146</v>
      </c>
      <c r="C105" s="43">
        <f>C103-C104</f>
        <v>-6055630.8833333254</v>
      </c>
      <c r="D105" s="43">
        <f>D103-D104</f>
        <v>8069581.6666666716</v>
      </c>
      <c r="E105" s="43">
        <f>E103-E104</f>
        <v>24269790.033333346</v>
      </c>
    </row>
    <row r="107" spans="2:5" x14ac:dyDescent="0.3">
      <c r="B107" s="27" t="s">
        <v>114</v>
      </c>
      <c r="C107" s="36">
        <f>Calculations!$G$81</f>
        <v>54</v>
      </c>
      <c r="D107" s="36">
        <f>Calculations!$G$81</f>
        <v>54</v>
      </c>
      <c r="E107" s="36">
        <f>Calculations!$G$81</f>
        <v>54</v>
      </c>
    </row>
    <row r="108" spans="2:5" x14ac:dyDescent="0.3">
      <c r="B108" s="29" t="s">
        <v>115</v>
      </c>
      <c r="C108" s="42">
        <f>C107-C87</f>
        <v>9</v>
      </c>
      <c r="D108" s="42">
        <f>D107-D87</f>
        <v>26</v>
      </c>
      <c r="E108" s="42">
        <f>E107-E87</f>
        <v>37</v>
      </c>
    </row>
    <row r="109" spans="2:5" x14ac:dyDescent="0.3">
      <c r="B109" s="29" t="s">
        <v>147</v>
      </c>
      <c r="C109" s="43">
        <f>SUMPRODUCT((Calculations!C6:C20-Calculations!J6:J20)*Inputs!$D$8:$D$22*(1+Inputs!$E$8:$E$22))-Calculations!$H$81</f>
        <v>4294200</v>
      </c>
      <c r="D109" s="43">
        <f>SUMPRODUCT((Calculations!C26:C40-Calculations!J26:J40)*Inputs!$D$8:$D$22*(1+Inputs!$E$8:$E$22))-Calculations!$H$81</f>
        <v>9383400</v>
      </c>
      <c r="E109" s="43">
        <f>SUMPRODUCT((Calculations!C46:C60-Calculations!J46:J60)*Inputs!$D$8:$D$22*(1+Inputs!$E$8:$E$22))-Calculations!$H$81</f>
        <v>12649800</v>
      </c>
    </row>
    <row r="111" spans="2:5" x14ac:dyDescent="0.3">
      <c r="B111" s="27" t="s">
        <v>148</v>
      </c>
      <c r="C111" s="37">
        <f>Inputs!$F$47</f>
        <v>0</v>
      </c>
      <c r="D111" s="37">
        <f>Inputs!$F$47</f>
        <v>0</v>
      </c>
      <c r="E111" s="37">
        <f>Inputs!$F$47</f>
        <v>0</v>
      </c>
    </row>
    <row r="112" spans="2:5" x14ac:dyDescent="0.3">
      <c r="B112" s="27" t="s">
        <v>149</v>
      </c>
      <c r="C112" s="46">
        <f>C92+IF(Inputs!$J$4="Yes",C93,0)</f>
        <v>8240000</v>
      </c>
      <c r="D112" s="46">
        <f>D92+IF(Inputs!$J$4="Yes",D93,0)</f>
        <v>13520000</v>
      </c>
      <c r="E112" s="46">
        <f>E92+IF(Inputs!$J$4="Yes",E93,0)</f>
        <v>20460000</v>
      </c>
    </row>
    <row r="113" spans="2:5" x14ac:dyDescent="0.3">
      <c r="B113" s="27" t="s">
        <v>150</v>
      </c>
      <c r="C113" s="37">
        <f>Inputs!$F$48</f>
        <v>0</v>
      </c>
      <c r="D113" s="37">
        <f>Inputs!$F$48</f>
        <v>0</v>
      </c>
      <c r="E113" s="37">
        <f>Inputs!$F$48</f>
        <v>0</v>
      </c>
    </row>
    <row r="114" spans="2:5" x14ac:dyDescent="0.3">
      <c r="B114" s="29" t="s">
        <v>117</v>
      </c>
      <c r="C114" s="43">
        <f>C111+C112-C113</f>
        <v>8240000</v>
      </c>
      <c r="D114" s="43">
        <f>D111+D112-D113</f>
        <v>13520000</v>
      </c>
      <c r="E114" s="43">
        <f>E111+E112-E113</f>
        <v>20460000</v>
      </c>
    </row>
  </sheetData>
  <mergeCells count="5">
    <mergeCell ref="B4:J4"/>
    <mergeCell ref="B24:J24"/>
    <mergeCell ref="B44:J44"/>
    <mergeCell ref="B64:I64"/>
    <mergeCell ref="B84:E8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Inputs</vt:lpstr>
      <vt:lpstr>Dashboard</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Ravi Radhakrishnan</cp:lastModifiedBy>
  <cp:revision>1</cp:revision>
  <dcterms:created xsi:type="dcterms:W3CDTF">2026-09-15T18:13:03Z</dcterms:created>
  <dcterms:modified xsi:type="dcterms:W3CDTF">2026-09-15T18:15:25Z</dcterms:modified>
  <dc:language>en-US</dc:language>
</cp:coreProperties>
</file>
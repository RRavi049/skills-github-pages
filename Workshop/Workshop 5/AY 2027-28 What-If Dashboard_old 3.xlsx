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charts/chart1.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2"/>
  </bookViews>
  <sheets>
    <sheet name="ReadMe" sheetId="1" state="visible" r:id="rId3"/>
    <sheet name="Inputs" sheetId="2" state="visible" r:id="rId4"/>
    <sheet name="Dashboard" sheetId="3" state="visible" r:id="rId5"/>
    <sheet name="Calculations"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<sst xmlns="http://schemas.openxmlformats.org/spreadsheetml/2006/main" count="229" uniqueCount="161">
  <si>
    <t xml:space="preserve">AY 2027-28 Enrollment &amp; Fund What-If Dashboard</t>
  </si>
  <si>
    <t xml:space="preserve">Built from your uploaded AY 27-28 financials. All figures in ₹ (INR).</t>
  </si>
  <si>
    <t xml:space="preserve">How to use</t>
  </si>
  <si>
    <t xml:space="preserve">1. Go to the Inputs tab. Pick a scenario (Pessimistic / Realistic / Optimistic) in the yellow cell at the top — every other sheet updates instantly.</t>
  </si>
  <si>
    <t xml:space="preserve">2. Every blue number on Inputs is editable — grade-wise new-joiner counts and their per-grade optimistic/pessimistic swing %, contribution % and its swing, fees, expenses, collection efficiency, cost variance, and fund balances.</t>
  </si>
  <si>
    <t xml:space="preserve">3. The Dashboard tab shows the headline P&amp;L, cash flow and fund position for whichever scenario is selected, plus a side-by-side comparison of all three scenarios and a chart.</t>
  </si>
  <si>
    <t xml:space="preserve">4. The Calculations tab is the engine — grade-by-grade math for all three scenarios. You normally won't need to edit it; everything you'd want to change lives on Inputs.</t>
  </si>
  <si>
    <t xml:space="preserve">Key modelling choices</t>
  </si>
  <si>
    <t xml:space="preserve">- New Joiners are now Max Capacity x Capture %, not a blanket swing. The 'New Joiners' numbers in your source file are actually the school's MAXIMUM SEAT CAPACITY per grade (per your correction) — so Optimistic = filling 100% of that capacity, and Realistic / Pessimistic are each Capacity x a per-grade Capture % (how much of capacity you realistically expect to fill). A bigger capacity number is harder to fully realize (e.g. LKG, and especially AS/Grade 11) on top of AS being the structurally harder grade to convert — both are reflected in lower default Capture % for AS than for Grade I. Every Capture % is editable per grade.</t>
  </si>
  <si>
    <t xml:space="preserve">- Returnable Contribution % (existing students, to the corpus/building fund) also gets its own pessimistic/optimistic range per grade, as a +/- percentage-point swing on the realistic %.</t>
  </si>
  <si>
    <t xml:space="preserve">- Contributions from existing students, and (optionally) the Advance from new joiners, are treated as a REFUNDABLE LIABILITY — they hit Cash Inflow and the Fund roll-forward, but are excluded from P&amp;L revenue. No interest is accrued on this balance, matching your note that contributions are returnable without interest.</t>
  </si>
  <si>
    <t xml:space="preserve">- Whether the Advance from new joiners is returnable or not is a Yes/No toggle on Inputs (default: Yes / returnable) since your brief only confirmed the treatment for existing-student contributions.</t>
  </si>
  <si>
    <t xml:space="preserve">- Tuition revenue is recognised on an accrual basis in the P&amp;L (Total Students x Base Fee); a Fee Collection Efficiency % (by scenario) is applied only in the cash flow, to reflect real-world collection risk.</t>
  </si>
  <si>
    <t xml:space="preserve">- Operating expenses are taken from your source file and flexed by a single Cost Variance % per scenario (cost overrun risk in Pessimistic, savings in Optimistic).</t>
  </si>
  <si>
    <t xml:space="preserve">- To control New Joiners / Contribution % / Dropouts at an overall level (rather than editing all 15 grade rows), use the Swing Multiplier columns in the Scenario overlays table on Inputs (near the bottom, one row per scenario). New Joiners' multiplier scales the Realistic and Pessimistic Capture % together (Optimistic is fixed at 100% of Max Capacity by definition); Contribution % and Dropout multipliers scale the Pessimistic/Optimistic swings as before. Each keeps every grade's relative difficulty intact. Fee Collection Efficiency % and Cost Variance %, in the same table, are a DIFFERENT lever — they only affect how much billed revenue turns into cash and how much of the expense budget is actually spent; they do not move New Joiners, Contribution % or Dropouts (those live on the grade table above, one row per grade).</t>
  </si>
  <si>
    <t xml:space="preserve">- Base Fee on Inputs is LAST year's fee. 'Fee Increase %' (per grade — 20% for grades II-IX, 0% elsewhere, per your source data) is now actively applied: Tuition Revenue for BOTH existing and new students is billed at Base Fee x (1 + Fee Increase %) in every scenario. Edit Fee Increase % per grade if you decide against raising fees for a particular grade.</t>
  </si>
  <si>
    <t xml:space="preserve">- Fee-Increase Breakeven analysis (Calculations tab, and summarised on Dashboard): since raising fees is expected to trigger some of the Possible Dropouts above, this section works out, per grade and per scenario, how many existing students could drop out before the fee increase stops paying for itself — i.e. before revenue falls below what you'd have collected with NO fee increase at all. The formula is the standard price/volume identity: Breakeven Dropout % = Fee Increase % / (1 + Fee Increase %). Dashboard shows this as a fixed Breakeven Dropout Threshold (count), your modelled Dropouts for the scenario, the Headroom between them (positive = you can absorb more dropouts than modelled before the increase becomes unprofitable), and the Revenue Impact of the fee increase vs. not raising fees at all, for existing students. This is a decision-support number, not a prediction — it tells you how much cushion the 20% increase has, given your own Dropout assumptions.</t>
  </si>
  <si>
    <t xml:space="preserve">- Possible Dropouts (existing students who may leave, e.g. because of the fee increase) now reduce Total Students and therefore Tuition Fee Revenue: Total Students = Existing - Possible Dropouts + New Joiners. They also reduce who is asked for a Contribution — that's now based on existing students who are actually staying on (Existing - Dropouts), not the full existing headcount, since a student about to leave presumably isn't asked to make a fresh returnable contribution. Dropouts get the same per-grade Pessimistic/Optimistic Δ% and overall Swing Multiplier treatment as New Joiners and Contribution % (Inputs columns N-P on the grade table, and the 3rd multiplier on the Scenario overlays table) — concentrated by default in the grades that see the 20% fee increase (II-IX); grades with no fee increase (Pre-KG-I) and the senior/board-year grades (X, AS, A2) are modelled as unaffected, per your source data.</t>
  </si>
  <si>
    <t xml:space="preserve">- Targeted Retention Scholarship (Inputs, bottom section; Calculations columns K-L; Dashboard rows): a limited, discreetly-offered merit-cum-means scholarship for at-risk families, rather than a school-wide discount — the 20% Fee Increase % is unchanged for everyone else. Only students who take up the scholarship pay the Subsidized Fee Increase % (default 13%) instead. You set a Target Pool to Retain per scenario (default 15 / 30 / 35 for Pessimistic / Realistic / Optimistic); the model spreads that pool across grades II-IX in the same proportion as the Possible Dropouts (Realistic) column, and automatically caps it, per grade and per scenario, at however many students are actually projected to drop out there — so Optimistic (fewer parents upset, only 17 at risk) can retain nearly everyone at risk, while Pessimistic (45 at risk vs. a 15-student target) still sees meaningful residual dropouts. The third party administering the scholarship is treated as a pure transactional pass-through — the cost sits with the school exactly as if it gave the discount directly.</t>
  </si>
  <si>
    <t xml:space="preserve">- The Returnable Fund's Opening Balance and Refunds Paid (Inputs, bottom section) are both locked at ₹0 by default and should stay that way: AY 2027-28 is the FIRST year this returnable contribution is being collected, so there's no prior-year balance and no departing student (Possible Dropouts included) could have contributed before — none are owed a refund yet. Only change these two cells once the fund has run for a year or more.</t>
  </si>
  <si>
    <t xml:space="preserve">Colour legend</t>
  </si>
  <si>
    <t xml:space="preserve">Blue text = your editable input</t>
  </si>
  <si>
    <t xml:space="preserve">Black text = live formula (don't overwrite)</t>
  </si>
  <si>
    <t xml:space="preserve">Green text = link pulled from another sheet</t>
  </si>
  <si>
    <t xml:space="preserve">Yellow fill = key scenario / toggle controls</t>
  </si>
  <si>
    <t xml:space="preserve">Inputs &amp; Assumptions</t>
  </si>
  <si>
    <t xml:space="preserve">Edit any blue cell. Grades are rows, so each grade can have its own new-joiner / contribution swing (no blanket %).</t>
  </si>
  <si>
    <t xml:space="preserve">Active Scenario</t>
  </si>
  <si>
    <t xml:space="preserve">Realistic</t>
  </si>
  <si>
    <t xml:space="preserve">Treat 'Advance per New Joiner' as returnable (liability), not revenue?</t>
  </si>
  <si>
    <t xml:space="preserve">Yes</t>
  </si>
  <si>
    <t xml:space="preserve">Grade-wise enrollment, fee, contribution &amp; dropout assumptions</t>
  </si>
  <si>
    <t xml:space="preserve">Grade</t>
  </si>
  <si>
    <t xml:space="preserve">Existing
Students</t>
  </si>
  <si>
    <t xml:space="preserve">Base Fee
(₹, LAST year's)</t>
  </si>
  <si>
    <t xml:space="preserve">Fee Increase %
(applied to Base Fee)</t>
  </si>
  <si>
    <t xml:space="preserve">New Joiners
- Max Capacity
(= Optimistic)</t>
  </si>
  <si>
    <t xml:space="preserve">New Joiners
Realistic Capture %
(of Max Capacity)</t>
  </si>
  <si>
    <t xml:space="preserve">New Joiners
Pessimistic Capture %
(of Max Capacity)</t>
  </si>
  <si>
    <t xml:space="preserve">Contribution %
- Realistic
(existing students)</t>
  </si>
  <si>
    <t xml:space="preserve">Contribution
Pessimistic Δ (pp)</t>
  </si>
  <si>
    <t xml:space="preserve">Contribution
Optimistic Δ (pp)</t>
  </si>
  <si>
    <t xml:space="preserve">Contribution per
Student (₹)</t>
  </si>
  <si>
    <t xml:space="preserve">Advance per
New Joiner (₹)</t>
  </si>
  <si>
    <t xml:space="preserve">Possible Dropouts
- Realistic
(existing students)</t>
  </si>
  <si>
    <t xml:space="preserve">Dropout
Pessimistic Δ%
(more dropouts)</t>
  </si>
  <si>
    <t xml:space="preserve">Dropout
Optimistic Δ%
(fewer dropouts)</t>
  </si>
  <si>
    <t xml:space="preserve">Pre-KG</t>
  </si>
  <si>
    <t xml:space="preserve">LKG</t>
  </si>
  <si>
    <t xml:space="preserve">UKG</t>
  </si>
  <si>
    <t xml:space="preserve">I</t>
  </si>
  <si>
    <t xml:space="preserve">II</t>
  </si>
  <si>
    <t xml:space="preserve">III</t>
  </si>
  <si>
    <t xml:space="preserve">IV</t>
  </si>
  <si>
    <t xml:space="preserve">V</t>
  </si>
  <si>
    <t xml:space="preserve">VI</t>
  </si>
  <si>
    <t xml:space="preserve">VII</t>
  </si>
  <si>
    <t xml:space="preserve">VIII</t>
  </si>
  <si>
    <t xml:space="preserve">IX</t>
  </si>
  <si>
    <t xml:space="preserve">X</t>
  </si>
  <si>
    <t xml:space="preserve">AS</t>
  </si>
  <si>
    <t xml:space="preserve">A2</t>
  </si>
  <si>
    <t xml:space="preserve">Total</t>
  </si>
  <si>
    <t xml:space="preserve">Annual operating expenses (AY 2027-28 budget)</t>
  </si>
  <si>
    <t xml:space="preserve">Expense item</t>
  </si>
  <si>
    <t xml:space="preserve">Annual Amount (₹)</t>
  </si>
  <si>
    <t xml:space="preserve">Teacher salaries</t>
  </si>
  <si>
    <t xml:space="preserve">Rent</t>
  </si>
  <si>
    <t xml:space="preserve">Other core operating expenses</t>
  </si>
  <si>
    <t xml:space="preserve">Cambridge affiliation</t>
  </si>
  <si>
    <t xml:space="preserve">Safety / essential maintenance</t>
  </si>
  <si>
    <t xml:space="preserve">Property purchase loan servicing</t>
  </si>
  <si>
    <t xml:space="preserve">Growth marketing</t>
  </si>
  <si>
    <t xml:space="preserve">Additional / discretionary maintenance</t>
  </si>
  <si>
    <t xml:space="preserve">International obligations</t>
  </si>
  <si>
    <t xml:space="preserve">Miscellaneous Expenses</t>
  </si>
  <si>
    <t xml:space="preserve">Total Operating Expenses</t>
  </si>
  <si>
    <t xml:space="preserve">Scenario overlays — overall dials</t>
  </si>
  <si>
    <t xml:space="preserve">The three Swing Multiplier columns are your single overall control per scenario: raise/lower one number here and every grade's New Joiner / Contribution / Dropout assumption (set on the table above) scales together, in proportion. 1.0 = the per-grade defaults above; 1.5 = 50% more aggressive; 0.5 = half as aggressive. NOTE the New Joiners multiplier is wired differently from the other two: New Joiners is now capacity-based (Optimistic = 100% of Max Capacity, fixed, so its multiplier cell is unused), and the multiplier instead scales the REALISTIC and PESSIMISTIC Capture % — i.e. Realistic's New Joiners multiplier IS active here, unlike Contribution/Dropout where Realistic is the fixed baseline and only Pessimistic/Optimistic scale. Cells with no effect for a given scenario are left white (not yellow) below. Fee Collection Efficiency % and Cost Variance % are a separate, cash/expense-only lever — they do NOT move New Joiners, Contribution % or Dropouts.</t>
  </si>
  <si>
    <t xml:space="preserve">Scenario</t>
  </si>
  <si>
    <t xml:space="preserve">Fee Collection
Efficiency %
(cash only)</t>
  </si>
  <si>
    <t xml:space="preserve">Cost Variance %
(vs. budget)</t>
  </si>
  <si>
    <t xml:space="preserve">New Joiners Swing
Multiplier (overall)</t>
  </si>
  <si>
    <t xml:space="preserve">Contribution Swing
Multiplier (overall)</t>
  </si>
  <si>
    <t xml:space="preserve">Dropout Swing
Multiplier (overall)</t>
  </si>
  <si>
    <t xml:space="preserve">Pessimistic</t>
  </si>
  <si>
    <t xml:space="preserve">Optimistic</t>
  </si>
  <si>
    <t xml:space="preserve">Returnable fund (corpus) balances</t>
  </si>
  <si>
    <t xml:space="preserve">Opening Balance of Returnable Fund, 1-Apr-2027 (₹) — locked at ₹0: AY 2027-28 is the FIRST year this contribution is being collected, so no prior balance exists.</t>
  </si>
  <si>
    <t xml:space="preserve">Refunds Paid to Leaving Students during AY 2027-28 (₹) — should also be ₹0: since this is the first year of collection, no departing student (including Possible Dropouts) could have contributed in a prior year, so none are owed a refund yet.</t>
  </si>
  <si>
    <t xml:space="preserve">Targeted retention scholarship (merit-cum-means, third party as transactional proxy)</t>
  </si>
  <si>
    <t xml:space="preserve">Rather than lowering the fee increase for everyone, a limited pool of at-risk families is offered a subsidized increase through a discreet, third-party-administered merit-cum-means scholarship. The third party is a transactional pass-through only -- the school bears the cost exactly as if it gave the discount directly. Only students who actually take up the scholarship pay the Subsidized Fee Increase % below; every other student keeps paying the full Fee Increase % on the grade table above -- there is no school-wide discount. The Target Pool below is spread across grades in the same proportion as the Possible Dropouts (Realistic) column above, and is automatically capped, per grade and per scenario, at however many students are actually projected to drop out there -- so the scholarship can never show more students 'retained' than were ever at risk of leaving.</t>
  </si>
  <si>
    <t xml:space="preserve">Subsidized Fee Increase % (for scholarship-retained students only)</t>
  </si>
  <si>
    <t xml:space="preserve">Target Pool to Retain
(count, before capping by
modelled dropouts)</t>
  </si>
  <si>
    <t xml:space="preserve">AY 2027-28 What-If Dashboard</t>
  </si>
  <si>
    <t xml:space="preserve">Enrollment, returnable contributions, cash flow &amp; P&amp;L — scenario planning</t>
  </si>
  <si>
    <t xml:space="preserve">Active Scenario:</t>
  </si>
  <si>
    <t xml:space="preserve">(change it on the Inputs tab — every number below updates)</t>
  </si>
  <si>
    <t xml:space="preserve">Total Cash Inflow</t>
  </si>
  <si>
    <t xml:space="preserve">Total Cash Outflow</t>
  </si>
  <si>
    <t xml:space="preserve">Net Cash Flow</t>
  </si>
  <si>
    <t xml:space="preserve">P&amp;L Net Surplus / (Deficit)</t>
  </si>
  <si>
    <t xml:space="preserve">Revenue Impact of Fee Increase</t>
  </si>
  <si>
    <t xml:space="preserve">Returnable Fund — Closing Balance</t>
  </si>
  <si>
    <t xml:space="preserve">Scenario Comparison — P&amp;L &amp; Cash Flow</t>
  </si>
  <si>
    <t xml:space="preserve">Metric</t>
  </si>
  <si>
    <t xml:space="preserve">New Joiners (count)</t>
  </si>
  <si>
    <t xml:space="preserve">Possible Dropouts - Before Scholarship (count)</t>
  </si>
  <si>
    <t xml:space="preserve">Retained via Targeted Scholarship (count)</t>
  </si>
  <si>
    <t xml:space="preserve">Possible Dropouts - After Scholarship / Actual (count)</t>
  </si>
  <si>
    <t xml:space="preserve">Total Students</t>
  </si>
  <si>
    <t xml:space="preserve">Tuition Fee Revenue (₹, accrual)</t>
  </si>
  <si>
    <t xml:space="preserve">Tuition Fee Cash Collected (₹)</t>
  </si>
  <si>
    <t xml:space="preserve">Returnable Contribution Collected (₹)</t>
  </si>
  <si>
    <t xml:space="preserve">Advance from New Joiners Collected (₹)</t>
  </si>
  <si>
    <t xml:space="preserve">Total Cash Inflow (₹)</t>
  </si>
  <si>
    <t xml:space="preserve">Total Cash Outflow (₹)</t>
  </si>
  <si>
    <t xml:space="preserve">Net Cash Flow (₹)</t>
  </si>
  <si>
    <t xml:space="preserve">P&amp;L Total Revenue (₹)</t>
  </si>
  <si>
    <t xml:space="preserve">P&amp;L Total Operating Expenses (₹)</t>
  </si>
  <si>
    <t xml:space="preserve">P&amp;L Net Surplus / (Deficit) (₹)</t>
  </si>
  <si>
    <t xml:space="preserve">Fee-Increase Breakeven Dropout Threshold (count, fixed)</t>
  </si>
  <si>
    <t xml:space="preserve">Headroom vs Breakeven Dropouts (count, after scholarship)</t>
  </si>
  <si>
    <t xml:space="preserve">Revenue from Scholarship-Retained Students (₹)</t>
  </si>
  <si>
    <t xml:space="preserve">Revenue Impact of Fee Increase vs No-Increase (₹, net of scholarship)</t>
  </si>
  <si>
    <t xml:space="preserve">Returnable Fund — Closing Balance (₹)</t>
  </si>
  <si>
    <t xml:space="preserve">Grade-wise Detail — Active Scenario</t>
  </si>
  <si>
    <t xml:space="preserve">New
Joiners</t>
  </si>
  <si>
    <t xml:space="preserve">Total
Students</t>
  </si>
  <si>
    <t xml:space="preserve">Tuition Fee
Revenue (₹)</t>
  </si>
  <si>
    <t xml:space="preserve">Contribution
%</t>
  </si>
  <si>
    <t xml:space="preserve">Contribution
Collected (₹)</t>
  </si>
  <si>
    <t xml:space="preserve">Advance
Collected (₹)</t>
  </si>
  <si>
    <t xml:space="preserve">Possible Dropouts
(after scholarship)</t>
  </si>
  <si>
    <t xml:space="preserve">Calculations — Scenario Engine</t>
  </si>
  <si>
    <t xml:space="preserve">Grade-by-grade math for each scenario. Everything here is a formula pulling from Inputs — normally no need to edit.</t>
  </si>
  <si>
    <t xml:space="preserve">PESSIMISTIC SCENARIO</t>
  </si>
  <si>
    <t xml:space="preserve">Possible Dropouts
(before scholarship)</t>
  </si>
  <si>
    <t xml:space="preserve">Retained via
Scholarship</t>
  </si>
  <si>
    <t xml:space="preserve">REALISTIC SCENARIO</t>
  </si>
  <si>
    <t xml:space="preserve">OPTIMISTIC SCENARIO</t>
  </si>
  <si>
    <t xml:space="preserve">FEE-INCREASE BREAKEVEN (existing students, fixed reference)</t>
  </si>
  <si>
    <t xml:space="preserve">Fee Increase
%</t>
  </si>
  <si>
    <t xml:space="preserve">Base Fee
(₹, last year)</t>
  </si>
  <si>
    <t xml:space="preserve">Breakeven
Dropout %</t>
  </si>
  <si>
    <t xml:space="preserve">Breakeven
Dropout Count</t>
  </si>
  <si>
    <t xml:space="preserve">Revenue if Fee
NOT Increased (₹)</t>
  </si>
  <si>
    <t xml:space="preserve">Revenue at
Breakeven (₹, check)</t>
  </si>
  <si>
    <t xml:space="preserve">SCENARIO SUMMARY — AY 2027-28</t>
  </si>
  <si>
    <t xml:space="preserve">Fee Collection Efficiency %</t>
  </si>
  <si>
    <t xml:space="preserve">Total Operating Expenses — Budget (₹)</t>
  </si>
  <si>
    <t xml:space="preserve">Cost Variance %</t>
  </si>
  <si>
    <t xml:space="preserve">P&amp;L — Tuition Fee Revenue (₹)</t>
  </si>
  <si>
    <t xml:space="preserve">P&amp;L — Advance Revenue (₹, only if not returnable)</t>
  </si>
  <si>
    <t xml:space="preserve">P&amp;L — Total Revenue (₹)</t>
  </si>
  <si>
    <t xml:space="preserve">P&amp;L — Total Operating Expenses (₹)</t>
  </si>
  <si>
    <t xml:space="preserve">P&amp;L — Net Surplus / (Deficit) (₹)</t>
  </si>
  <si>
    <t xml:space="preserve">Revenue Impact of Fee Increase vs No-Increase (₹, existing students only, net of scholarship)</t>
  </si>
  <si>
    <t xml:space="preserve">Returnable Fund — Opening Balance (₹)</t>
  </si>
  <si>
    <t xml:space="preserve">Returnable Fund — Additions (₹)</t>
  </si>
  <si>
    <t xml:space="preserve">Returnable Fund — Refunds Paid (₹)</t>
  </si>
</sst>
</file>

<file path=xl/styles.xml><?xml version="1.0" encoding="utf-8"?>
<styleSheet xmlns="http://schemas.openxmlformats.org/spreadsheetml/2006/main">
  <numFmts count="5">
    <numFmt numFmtId="164" formatCode="General"/>
    <numFmt numFmtId="165" formatCode="#,##0;\(#,##0\);\-"/>
    <numFmt numFmtId="166" formatCode="\₹#,##0;&quot;(₹&quot;#,##0\);\-"/>
    <numFmt numFmtId="167" formatCode="0.0%;\(0.0%\);\-"/>
    <numFmt numFmtId="168" formatCode="0.00\x"/>
  </numFmts>
  <fonts count="21">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i val="true"/>
      <sz val="10"/>
      <color rgb="FF595959"/>
      <name val="Arial"/>
      <family val="0"/>
      <charset val="1"/>
    </font>
    <font>
      <b val="true"/>
      <sz val="11"/>
      <color rgb="FF1F3864"/>
      <name val="Arial"/>
      <family val="0"/>
      <charset val="1"/>
    </font>
    <font>
      <sz val="10"/>
      <color rgb="FF000000"/>
      <name val="Arial"/>
      <family val="0"/>
      <charset val="1"/>
    </font>
    <font>
      <sz val="10"/>
      <color rgb="FF0000FF"/>
      <name val="Arial"/>
      <family val="0"/>
      <charset val="1"/>
    </font>
    <font>
      <sz val="10"/>
      <color rgb="FF008000"/>
      <name val="Arial"/>
      <family val="0"/>
      <charset val="1"/>
    </font>
    <font>
      <b val="true"/>
      <sz val="10"/>
      <color rgb="FF000000"/>
      <name val="Arial"/>
      <family val="0"/>
      <charset val="1"/>
    </font>
    <font>
      <b val="true"/>
      <sz val="11"/>
      <color rgb="FF000000"/>
      <name val="Arial"/>
      <family val="0"/>
      <charset val="1"/>
    </font>
    <font>
      <b val="true"/>
      <sz val="11"/>
      <color rgb="FFFFFFFF"/>
      <name val="Arial"/>
      <family val="0"/>
      <charset val="1"/>
    </font>
    <font>
      <b val="true"/>
      <sz val="9"/>
      <color rgb="FF1F3864"/>
      <name val="Arial"/>
      <family val="0"/>
      <charset val="1"/>
    </font>
    <font>
      <i val="true"/>
      <sz val="8.5"/>
      <color rgb="FF595959"/>
      <name val="Arial"/>
      <family val="0"/>
      <charset val="1"/>
    </font>
    <font>
      <i val="true"/>
      <sz val="9"/>
      <color rgb="FF000000"/>
      <name val="Arial"/>
      <family val="0"/>
      <charset val="1"/>
    </font>
    <font>
      <b val="true"/>
      <sz val="12"/>
      <color rgb="FF1F3864"/>
      <name val="Arial"/>
      <family val="0"/>
      <charset val="1"/>
    </font>
    <font>
      <b val="true"/>
      <sz val="9"/>
      <color rgb="FFFFFFFF"/>
      <name val="Arial"/>
      <family val="0"/>
      <charset val="1"/>
    </font>
    <font>
      <b val="true"/>
      <sz val="18"/>
      <color rgb="FF000000"/>
      <name val="Calibri"/>
      <family val="2"/>
    </font>
    <font>
      <sz val="10"/>
      <color rgb="FF000000"/>
      <name val="Calibri"/>
      <family val="2"/>
    </font>
    <font>
      <b val="true"/>
      <sz val="10"/>
      <color rgb="FF000000"/>
      <name val="Calibri"/>
      <family val="2"/>
    </font>
  </fonts>
  <fills count="7">
    <fill>
      <patternFill patternType="none"/>
    </fill>
    <fill>
      <patternFill patternType="gray125"/>
    </fill>
    <fill>
      <patternFill patternType="solid">
        <fgColor rgb="FFFFFF00"/>
        <bgColor rgb="FFFFFF00"/>
      </patternFill>
    </fill>
    <fill>
      <patternFill patternType="solid">
        <fgColor rgb="FF2E5496"/>
        <bgColor rgb="FF1F3864"/>
      </patternFill>
    </fill>
    <fill>
      <patternFill patternType="solid">
        <fgColor rgb="FFD9E1F2"/>
        <bgColor rgb="FFD9D9D9"/>
      </patternFill>
    </fill>
    <fill>
      <patternFill patternType="solid">
        <fgColor rgb="FFF2F2F2"/>
        <bgColor rgb="FFF2F6FC"/>
      </patternFill>
    </fill>
    <fill>
      <patternFill patternType="solid">
        <fgColor rgb="FFF2F6FC"/>
        <bgColor rgb="FFF2F2F2"/>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8" fillId="0" borderId="0" xfId="0" applyFont="true" applyBorder="true" applyAlignment="true" applyProtection="false">
      <alignment horizontal="general" vertical="top" textRotation="0" wrapText="true" indent="0" shrinkToFit="false"/>
      <protection locked="true" hidden="false"/>
    </xf>
    <xf numFmtId="164" fontId="9" fillId="0" borderId="0" xfId="0" applyFont="true" applyBorder="true" applyAlignment="true" applyProtection="false">
      <alignment horizontal="general" vertical="top" textRotation="0" wrapText="tru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1" fillId="2" borderId="1" xfId="0" applyFont="true" applyBorder="true" applyAlignment="true" applyProtection="false">
      <alignment horizontal="center" vertical="bottom" textRotation="0" wrapText="false" indent="0" shrinkToFit="false"/>
      <protection locked="true" hidden="false"/>
    </xf>
    <xf numFmtId="164" fontId="10" fillId="0" borderId="0" xfId="0" applyFont="true" applyBorder="true" applyAlignment="false" applyProtection="false">
      <alignment horizontal="general" vertical="bottom" textRotation="0" wrapText="false" indent="0" shrinkToFit="false"/>
      <protection locked="true" hidden="false"/>
    </xf>
    <xf numFmtId="164" fontId="0" fillId="2" borderId="1" xfId="0" applyFont="true" applyBorder="true" applyAlignment="true" applyProtection="false">
      <alignment horizontal="center" vertical="bottom" textRotation="0" wrapText="false" indent="0" shrinkToFit="false"/>
      <protection locked="true" hidden="false"/>
    </xf>
    <xf numFmtId="164" fontId="12" fillId="3" borderId="0" xfId="0" applyFont="true" applyBorder="true" applyAlignment="false" applyProtection="false">
      <alignment horizontal="general" vertical="bottom" textRotation="0" wrapText="false" indent="0" shrinkToFit="false"/>
      <protection locked="true" hidden="false"/>
    </xf>
    <xf numFmtId="164" fontId="13" fillId="4" borderId="1" xfId="0" applyFont="true" applyBorder="true" applyAlignment="true" applyProtection="false">
      <alignment horizontal="center" vertical="center" textRotation="0" wrapText="true" indent="0" shrinkToFit="false"/>
      <protection locked="true" hidden="false"/>
    </xf>
    <xf numFmtId="164" fontId="10" fillId="0" borderId="1" xfId="0" applyFont="true" applyBorder="true" applyAlignment="false" applyProtection="false">
      <alignment horizontal="general" vertical="bottom" textRotation="0" wrapText="false" indent="0" shrinkToFit="false"/>
      <protection locked="true" hidden="false"/>
    </xf>
    <xf numFmtId="165" fontId="8" fillId="0" borderId="1" xfId="0" applyFont="true" applyBorder="true" applyAlignment="true" applyProtection="false">
      <alignment horizontal="center" vertical="bottom" textRotation="0" wrapText="false" indent="0" shrinkToFit="false"/>
      <protection locked="true" hidden="false"/>
    </xf>
    <xf numFmtId="166" fontId="8" fillId="0" borderId="1" xfId="0" applyFont="true" applyBorder="true" applyAlignment="true" applyProtection="false">
      <alignment horizontal="center" vertical="bottom" textRotation="0" wrapText="false" indent="0" shrinkToFit="false"/>
      <protection locked="true" hidden="false"/>
    </xf>
    <xf numFmtId="167" fontId="8" fillId="0" borderId="1" xfId="0" applyFont="true" applyBorder="true" applyAlignment="true" applyProtection="false">
      <alignment horizontal="center" vertical="bottom" textRotation="0" wrapText="false" indent="0" shrinkToFit="false"/>
      <protection locked="true" hidden="false"/>
    </xf>
    <xf numFmtId="164" fontId="10" fillId="5" borderId="0" xfId="0" applyFont="true" applyBorder="false" applyAlignment="false" applyProtection="false">
      <alignment horizontal="general" vertical="bottom" textRotation="0" wrapText="false" indent="0" shrinkToFit="false"/>
      <protection locked="true" hidden="false"/>
    </xf>
    <xf numFmtId="165" fontId="10" fillId="5" borderId="1" xfId="0" applyFont="true" applyBorder="true" applyAlignment="false" applyProtection="false">
      <alignment horizontal="general" vertical="bottom" textRotation="0" wrapText="false" indent="0" shrinkToFit="false"/>
      <protection locked="true" hidden="false"/>
    </xf>
    <xf numFmtId="164" fontId="0" fillId="5" borderId="0" xfId="0" applyFont="false" applyBorder="false" applyAlignment="false" applyProtection="false">
      <alignment horizontal="general" vertical="bottom" textRotation="0" wrapText="false" indent="0" shrinkToFit="false"/>
      <protection locked="true" hidden="false"/>
    </xf>
    <xf numFmtId="164" fontId="13" fillId="4"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6" fontId="8" fillId="0" borderId="1" xfId="0" applyFont="true" applyBorder="true" applyAlignment="false" applyProtection="false">
      <alignment horizontal="general" vertical="bottom" textRotation="0" wrapText="false" indent="0" shrinkToFit="false"/>
      <protection locked="true" hidden="false"/>
    </xf>
    <xf numFmtId="164" fontId="10" fillId="5" borderId="1" xfId="0" applyFont="true" applyBorder="true" applyAlignment="false" applyProtection="false">
      <alignment horizontal="general" vertical="bottom" textRotation="0" wrapText="false" indent="0" shrinkToFit="false"/>
      <protection locked="true" hidden="false"/>
    </xf>
    <xf numFmtId="166" fontId="10" fillId="5" borderId="1" xfId="0" applyFont="true" applyBorder="true" applyAlignment="false" applyProtection="false">
      <alignment horizontal="general" vertical="bottom" textRotation="0" wrapText="false" indent="0" shrinkToFit="false"/>
      <protection locked="true" hidden="false"/>
    </xf>
    <xf numFmtId="164" fontId="14" fillId="0" borderId="0" xfId="0" applyFont="true" applyBorder="true" applyAlignment="true" applyProtection="false">
      <alignment horizontal="general" vertical="top" textRotation="0" wrapText="true" indent="0" shrinkToFit="false"/>
      <protection locked="true" hidden="false"/>
    </xf>
    <xf numFmtId="164" fontId="13" fillId="4" borderId="1" xfId="0" applyFont="true" applyBorder="true" applyAlignment="true" applyProtection="false">
      <alignment horizontal="center" vertical="bottom" textRotation="0" wrapText="true" indent="0" shrinkToFit="false"/>
      <protection locked="true" hidden="false"/>
    </xf>
    <xf numFmtId="168" fontId="8" fillId="2" borderId="1" xfId="0" applyFont="true" applyBorder="true" applyAlignment="true" applyProtection="false">
      <alignment horizontal="center" vertical="bottom" textRotation="0" wrapText="false" indent="0" shrinkToFit="false"/>
      <protection locked="true" hidden="false"/>
    </xf>
    <xf numFmtId="168" fontId="8" fillId="0" borderId="1" xfId="0" applyFont="true" applyBorder="true" applyAlignment="true" applyProtection="false">
      <alignment horizontal="center" vertical="bottom" textRotation="0" wrapText="false" indent="0" shrinkToFit="false"/>
      <protection locked="true" hidden="false"/>
    </xf>
    <xf numFmtId="164" fontId="15" fillId="0" borderId="0" xfId="0" applyFont="true" applyBorder="true" applyAlignment="true" applyProtection="false">
      <alignment horizontal="general" vertical="center" textRotation="0" wrapText="true" indent="0" shrinkToFit="false"/>
      <protection locked="true" hidden="false"/>
    </xf>
    <xf numFmtId="166" fontId="8" fillId="2" borderId="1" xfId="0" applyFont="true" applyBorder="true" applyAlignment="false" applyProtection="false">
      <alignment horizontal="general" vertical="bottom" textRotation="0" wrapText="false" indent="0" shrinkToFit="false"/>
      <protection locked="true" hidden="false"/>
    </xf>
    <xf numFmtId="167" fontId="8" fillId="2" borderId="1" xfId="0" applyFont="true" applyBorder="true" applyAlignment="true" applyProtection="false">
      <alignment horizontal="center" vertical="bottom" textRotation="0" wrapText="false" indent="0" shrinkToFit="false"/>
      <protection locked="true" hidden="false"/>
    </xf>
    <xf numFmtId="165" fontId="8" fillId="2" borderId="1" xfId="0" applyFont="true" applyBorder="true" applyAlignment="true" applyProtection="false">
      <alignment horizontal="center" vertical="bottom" textRotation="0" wrapText="false" indent="0" shrinkToFit="false"/>
      <protection locked="true" hidden="false"/>
    </xf>
    <xf numFmtId="164" fontId="16" fillId="2" borderId="0" xfId="0" applyFont="true" applyBorder="true" applyAlignment="true" applyProtection="false">
      <alignment horizontal="center"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17" fillId="3" borderId="0" xfId="0" applyFont="true" applyBorder="true" applyAlignment="true" applyProtection="false">
      <alignment horizontal="center" vertical="bottom" textRotation="0" wrapText="true" indent="0" shrinkToFit="false"/>
      <protection locked="true" hidden="false"/>
    </xf>
    <xf numFmtId="166" fontId="4" fillId="6" borderId="0" xfId="0" applyFont="true" applyBorder="true" applyAlignment="true" applyProtection="false">
      <alignment horizontal="center" vertical="center" textRotation="0" wrapText="false" indent="0" shrinkToFit="false"/>
      <protection locked="true" hidden="false"/>
    </xf>
    <xf numFmtId="164" fontId="13" fillId="4" borderId="1" xfId="0" applyFont="true" applyBorder="true" applyAlignment="true" applyProtection="false">
      <alignment horizontal="center" vertical="bottom" textRotation="0" wrapText="false" indent="0" shrinkToFit="false"/>
      <protection locked="true" hidden="false"/>
    </xf>
    <xf numFmtId="165" fontId="9" fillId="0" borderId="1" xfId="0" applyFont="true" applyBorder="true" applyAlignment="true" applyProtection="false">
      <alignment horizontal="center" vertical="bottom" textRotation="0" wrapText="false" indent="0" shrinkToFit="false"/>
      <protection locked="true" hidden="false"/>
    </xf>
    <xf numFmtId="165" fontId="9" fillId="5" borderId="1" xfId="0" applyFont="true" applyBorder="true" applyAlignment="true" applyProtection="false">
      <alignment horizontal="center" vertical="bottom" textRotation="0" wrapText="false" indent="0" shrinkToFit="false"/>
      <protection locked="true" hidden="false"/>
    </xf>
    <xf numFmtId="166" fontId="9" fillId="0" borderId="1" xfId="0" applyFont="true" applyBorder="true" applyAlignment="true" applyProtection="false">
      <alignment horizontal="center" vertical="bottom" textRotation="0" wrapText="false" indent="0" shrinkToFit="false"/>
      <protection locked="true" hidden="false"/>
    </xf>
    <xf numFmtId="166" fontId="9" fillId="5" borderId="1" xfId="0" applyFont="true" applyBorder="true" applyAlignment="true" applyProtection="false">
      <alignment horizontal="center" vertical="bottom" textRotation="0" wrapText="false" indent="0" shrinkToFit="false"/>
      <protection locked="true" hidden="false"/>
    </xf>
    <xf numFmtId="164" fontId="9" fillId="0" borderId="1" xfId="0" applyFont="true" applyBorder="true" applyAlignment="true" applyProtection="false">
      <alignment horizontal="left" vertical="bottom" textRotation="0" wrapText="false" indent="0" shrinkToFit="false"/>
      <protection locked="true" hidden="false"/>
    </xf>
    <xf numFmtId="167" fontId="9" fillId="0" borderId="1" xfId="0" applyFont="true" applyBorder="true" applyAlignment="true" applyProtection="false">
      <alignment horizontal="center" vertical="bottom" textRotation="0" wrapText="false" indent="0" shrinkToFit="false"/>
      <protection locked="true" hidden="false"/>
    </xf>
    <xf numFmtId="165" fontId="10" fillId="5" borderId="1" xfId="0" applyFont="true" applyBorder="true" applyAlignment="true" applyProtection="false">
      <alignment horizontal="center" vertical="bottom" textRotation="0" wrapText="false" indent="0" shrinkToFit="false"/>
      <protection locked="true" hidden="false"/>
    </xf>
    <xf numFmtId="166" fontId="10" fillId="5" borderId="1" xfId="0" applyFont="true" applyBorder="true" applyAlignment="true" applyProtection="false">
      <alignment horizontal="center" vertical="bottom" textRotation="0" wrapText="false" indent="0" shrinkToFit="false"/>
      <protection locked="true" hidden="false"/>
    </xf>
    <xf numFmtId="164" fontId="0" fillId="5" borderId="1" xfId="0" applyFont="false" applyBorder="true" applyAlignment="false" applyProtection="false">
      <alignment horizontal="general" vertical="bottom" textRotation="0" wrapText="false" indent="0" shrinkToFit="false"/>
      <protection locked="true" hidden="false"/>
    </xf>
    <xf numFmtId="165" fontId="7" fillId="0" borderId="1" xfId="0" applyFont="true" applyBorder="true" applyAlignment="true" applyProtection="false">
      <alignment horizontal="center" vertical="bottom" textRotation="0" wrapText="false" indent="0" shrinkToFit="false"/>
      <protection locked="true" hidden="false"/>
    </xf>
    <xf numFmtId="166" fontId="7" fillId="0" borderId="1" xfId="0" applyFont="true" applyBorder="true" applyAlignment="true" applyProtection="false">
      <alignment horizontal="center" vertical="bottom" textRotation="0" wrapText="false" indent="0" shrinkToFit="false"/>
      <protection locked="true" hidden="false"/>
    </xf>
    <xf numFmtId="167" fontId="7" fillId="0" borderId="1" xfId="0" applyFont="true" applyBorder="tru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78787"/>
      <rgbColor rgb="FF9999FF"/>
      <rgbColor rgb="FFC0504D"/>
      <rgbColor rgb="FFF9F9F9"/>
      <rgbColor rgb="FFF2F6FC"/>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F2F2F2"/>
      <rgbColor rgb="FFD9E1F2"/>
      <rgbColor rgb="FFFFFF99"/>
      <rgbColor rgb="FF99CCFF"/>
      <rgbColor rgb="FFFF99CC"/>
      <rgbColor rgb="FFCC99FF"/>
      <rgbColor rgb="FFFFCC99"/>
      <rgbColor rgb="FF4F81BD"/>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2E5496"/>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Net Cash Flow vs. Net Surplus/(Deficit) by Scenario</a:t>
            </a:r>
          </a:p>
        </c:rich>
      </c:tx>
      <c:overlay val="0"/>
      <c:spPr>
        <a:noFill/>
        <a:ln w="0">
          <a:noFill/>
        </a:ln>
      </c:spPr>
    </c:title>
    <c:autoTitleDeleted val="0"/>
    <c:plotArea>
      <c:barChart>
        <c:barDir val="col"/>
        <c:grouping val="clustered"/>
        <c:varyColors val="0"/>
        <c:ser>
          <c:idx val="0"/>
          <c:order val="0"/>
          <c:tx>
            <c:strRef>
              <c:f>Calculations!B101</c:f>
              <c:strCache>
                <c:ptCount val="1"/>
                <c:pt idx="0">
                  <c:v>Net Cash Flow (₹)</c:v>
                </c:pt>
              </c:strCache>
            </c:strRef>
          </c:tx>
          <c:spPr>
            <a:solidFill>
              <a:srgbClr val="4f81bd"/>
            </a:solidFill>
            <a:ln w="9360">
              <a:solidFill>
                <a:srgbClr val="f9f9f9"/>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Calculations!$C$85:$E$85</c:f>
              <c:strCache>
                <c:ptCount val="3"/>
                <c:pt idx="0">
                  <c:v>Pessimistic</c:v>
                </c:pt>
                <c:pt idx="1">
                  <c:v>Realistic</c:v>
                </c:pt>
                <c:pt idx="2">
                  <c:v>Optimistic</c:v>
                </c:pt>
              </c:strCache>
            </c:strRef>
          </c:cat>
          <c:val>
            <c:numRef>
              <c:f>Calculations!$C$101:$E$101</c:f>
              <c:numCache>
                <c:formatCode>\₹#,##0;"(₹"#,##0\);\-</c:formatCode>
                <c:ptCount val="3"/>
                <c:pt idx="0">
                  <c:v>-2436255.28333332</c:v>
                </c:pt>
                <c:pt idx="1">
                  <c:v>25844825.9666667</c:v>
                </c:pt>
                <c:pt idx="2">
                  <c:v>48423326.7333333</c:v>
                </c:pt>
              </c:numCache>
            </c:numRef>
          </c:val>
        </c:ser>
        <c:ser>
          <c:idx val="1"/>
          <c:order val="1"/>
          <c:tx>
            <c:strRef>
              <c:f>Calculations!B107</c:f>
              <c:strCache>
                <c:ptCount val="1"/>
                <c:pt idx="0">
                  <c:v>P&amp;L — Net Surplus / (Deficit) (₹)</c:v>
                </c:pt>
              </c:strCache>
            </c:strRef>
          </c:tx>
          <c:spPr>
            <a:solidFill>
              <a:srgbClr val="c0504d"/>
            </a:solidFill>
            <a:ln w="9360">
              <a:solidFill>
                <a:srgbClr val="f9f9f9"/>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Calculations!$C$85:$E$85</c:f>
              <c:strCache>
                <c:ptCount val="3"/>
                <c:pt idx="0">
                  <c:v>Pessimistic</c:v>
                </c:pt>
                <c:pt idx="1">
                  <c:v>Realistic</c:v>
                </c:pt>
                <c:pt idx="2">
                  <c:v>Optimistic</c:v>
                </c:pt>
              </c:strCache>
            </c:strRef>
          </c:cat>
          <c:val>
            <c:numRef>
              <c:f>Calculations!$C$107:$E$107</c:f>
              <c:numCache>
                <c:formatCode>\₹#,##0;"(₹"#,##0\);\-</c:formatCode>
                <c:ptCount val="3"/>
                <c:pt idx="0">
                  <c:v>-1263300.88333333</c:v>
                </c:pt>
                <c:pt idx="1">
                  <c:v>15937771.6666667</c:v>
                </c:pt>
                <c:pt idx="2">
                  <c:v>29062120.0333333</c:v>
                </c:pt>
              </c:numCache>
            </c:numRef>
          </c:val>
        </c:ser>
        <c:gapWidth val="150"/>
        <c:overlap val="0"/>
        <c:axId val="44827439"/>
        <c:axId val="27862793"/>
      </c:barChart>
      <c:catAx>
        <c:axId val="44827439"/>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Scenario</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7862793"/>
        <c:crosses val="autoZero"/>
        <c:auto val="1"/>
        <c:lblAlgn val="ctr"/>
        <c:lblOffset val="100"/>
        <c:noMultiLvlLbl val="0"/>
      </c:catAx>
      <c:valAx>
        <c:axId val="27862793"/>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a:t>
                </a:r>
              </a:p>
            </c:rich>
          </c:tx>
          <c:overlay val="0"/>
          <c:spPr>
            <a:noFill/>
            <a:ln w="0">
              <a:noFill/>
            </a:ln>
          </c:spPr>
        </c:title>
        <c:numFmt formatCode="\₹#,##0;&quot;(₹&quot;#,##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4827439"/>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53</xdr:row>
      <xdr:rowOff>160560</xdr:rowOff>
    </xdr:from>
    <xdr:to>
      <xdr:col>6</xdr:col>
      <xdr:colOff>417960</xdr:colOff>
      <xdr:row>68</xdr:row>
      <xdr:rowOff>182520</xdr:rowOff>
    </xdr:to>
    <xdr:graphicFrame>
      <xdr:nvGraphicFramePr>
        <xdr:cNvPr id="0" name="Chart 1"/>
        <xdr:cNvGraphicFramePr/>
      </xdr:nvGraphicFramePr>
      <xdr:xfrm>
        <a:off x="611640" y="10667880"/>
        <a:ext cx="6479640" cy="28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L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12" min="2" style="0" width="11"/>
  </cols>
  <sheetData>
    <row r="2" customFormat="false" ht="17.35" hidden="false" customHeight="false" outlineLevel="0" collapsed="false">
      <c r="B2" s="1" t="s">
        <v>0</v>
      </c>
    </row>
    <row r="3" customFormat="false" ht="15" hidden="false" customHeight="false" outlineLevel="0" collapsed="false">
      <c r="B3" s="2" t="s">
        <v>1</v>
      </c>
    </row>
    <row r="5" customFormat="false" ht="15" hidden="false" customHeight="true" outlineLevel="0" collapsed="false">
      <c r="B5" s="3" t="s">
        <v>2</v>
      </c>
      <c r="C5" s="3"/>
      <c r="D5" s="3"/>
      <c r="E5" s="3"/>
      <c r="F5" s="3"/>
      <c r="G5" s="3"/>
      <c r="H5" s="3"/>
      <c r="I5" s="3"/>
      <c r="J5" s="3"/>
      <c r="K5" s="3"/>
      <c r="L5" s="3"/>
    </row>
    <row r="6" customFormat="false" ht="27.75" hidden="false" customHeight="true" outlineLevel="0" collapsed="false">
      <c r="B6" s="4" t="s">
        <v>3</v>
      </c>
      <c r="C6" s="4"/>
      <c r="D6" s="4"/>
      <c r="E6" s="4"/>
      <c r="F6" s="4"/>
      <c r="G6" s="4"/>
      <c r="H6" s="4"/>
      <c r="I6" s="4"/>
      <c r="J6" s="4"/>
      <c r="K6" s="4"/>
      <c r="L6" s="4"/>
    </row>
    <row r="7" customFormat="false" ht="27.75" hidden="false" customHeight="true" outlineLevel="0" collapsed="false">
      <c r="B7" s="4" t="s">
        <v>4</v>
      </c>
      <c r="C7" s="4"/>
      <c r="D7" s="4"/>
      <c r="E7" s="4"/>
      <c r="F7" s="4"/>
      <c r="G7" s="4"/>
      <c r="H7" s="4"/>
      <c r="I7" s="4"/>
      <c r="J7" s="4"/>
      <c r="K7" s="4"/>
      <c r="L7" s="4"/>
    </row>
    <row r="8" customFormat="false" ht="27.75" hidden="false" customHeight="true" outlineLevel="0" collapsed="false">
      <c r="B8" s="4" t="s">
        <v>5</v>
      </c>
      <c r="C8" s="4"/>
      <c r="D8" s="4"/>
      <c r="E8" s="4"/>
      <c r="F8" s="4"/>
      <c r="G8" s="4"/>
      <c r="H8" s="4"/>
      <c r="I8" s="4"/>
      <c r="J8" s="4"/>
      <c r="K8" s="4"/>
      <c r="L8" s="4"/>
    </row>
    <row r="9" customFormat="false" ht="27.75" hidden="false" customHeight="true" outlineLevel="0" collapsed="false">
      <c r="B9" s="4" t="s">
        <v>6</v>
      </c>
      <c r="C9" s="4"/>
      <c r="D9" s="4"/>
      <c r="E9" s="4"/>
      <c r="F9" s="4"/>
      <c r="G9" s="4"/>
      <c r="H9" s="4"/>
      <c r="I9" s="4"/>
      <c r="J9" s="4"/>
      <c r="K9" s="4"/>
      <c r="L9" s="4"/>
    </row>
    <row r="10" customFormat="false" ht="15" hidden="false" customHeight="true" outlineLevel="0" collapsed="false">
      <c r="B10" s="4"/>
      <c r="C10" s="4"/>
      <c r="D10" s="4"/>
      <c r="E10" s="4"/>
      <c r="F10" s="4"/>
      <c r="G10" s="4"/>
      <c r="H10" s="4"/>
      <c r="I10" s="4"/>
      <c r="J10" s="4"/>
      <c r="K10" s="4"/>
      <c r="L10" s="4"/>
    </row>
    <row r="11" customFormat="false" ht="15" hidden="false" customHeight="true" outlineLevel="0" collapsed="false">
      <c r="B11" s="3" t="s">
        <v>7</v>
      </c>
      <c r="C11" s="3"/>
      <c r="D11" s="3"/>
      <c r="E11" s="3"/>
      <c r="F11" s="3"/>
      <c r="G11" s="3"/>
      <c r="H11" s="3"/>
      <c r="I11" s="3"/>
      <c r="J11" s="3"/>
      <c r="K11" s="3"/>
      <c r="L11" s="3"/>
    </row>
    <row r="12" customFormat="false" ht="27.75" hidden="false" customHeight="true" outlineLevel="0" collapsed="false">
      <c r="B12" s="4" t="s">
        <v>8</v>
      </c>
      <c r="C12" s="4"/>
      <c r="D12" s="4"/>
      <c r="E12" s="4"/>
      <c r="F12" s="4"/>
      <c r="G12" s="4"/>
      <c r="H12" s="4"/>
      <c r="I12" s="4"/>
      <c r="J12" s="4"/>
      <c r="K12" s="4"/>
      <c r="L12" s="4"/>
    </row>
    <row r="13" customFormat="false" ht="27.75" hidden="false" customHeight="true" outlineLevel="0" collapsed="false">
      <c r="B13" s="4" t="s">
        <v>9</v>
      </c>
      <c r="C13" s="4"/>
      <c r="D13" s="4"/>
      <c r="E13" s="4"/>
      <c r="F13" s="4"/>
      <c r="G13" s="4"/>
      <c r="H13" s="4"/>
      <c r="I13" s="4"/>
      <c r="J13" s="4"/>
      <c r="K13" s="4"/>
      <c r="L13" s="4"/>
    </row>
    <row r="14" customFormat="false" ht="27.75" hidden="false" customHeight="true" outlineLevel="0" collapsed="false">
      <c r="B14" s="4" t="s">
        <v>10</v>
      </c>
      <c r="C14" s="4"/>
      <c r="D14" s="4"/>
      <c r="E14" s="4"/>
      <c r="F14" s="4"/>
      <c r="G14" s="4"/>
      <c r="H14" s="4"/>
      <c r="I14" s="4"/>
      <c r="J14" s="4"/>
      <c r="K14" s="4"/>
      <c r="L14" s="4"/>
    </row>
    <row r="15" customFormat="false" ht="27.75" hidden="false" customHeight="true" outlineLevel="0" collapsed="false">
      <c r="B15" s="4" t="s">
        <v>11</v>
      </c>
      <c r="C15" s="4"/>
      <c r="D15" s="4"/>
      <c r="E15" s="4"/>
      <c r="F15" s="4"/>
      <c r="G15" s="4"/>
      <c r="H15" s="4"/>
      <c r="I15" s="4"/>
      <c r="J15" s="4"/>
      <c r="K15" s="4"/>
      <c r="L15" s="4"/>
    </row>
    <row r="16" customFormat="false" ht="27.75" hidden="false" customHeight="true" outlineLevel="0" collapsed="false">
      <c r="B16" s="4" t="s">
        <v>12</v>
      </c>
      <c r="C16" s="4"/>
      <c r="D16" s="4"/>
      <c r="E16" s="4"/>
      <c r="F16" s="4"/>
      <c r="G16" s="4"/>
      <c r="H16" s="4"/>
      <c r="I16" s="4"/>
      <c r="J16" s="4"/>
      <c r="K16" s="4"/>
      <c r="L16" s="4"/>
    </row>
    <row r="17" customFormat="false" ht="27.75" hidden="false" customHeight="true" outlineLevel="0" collapsed="false">
      <c r="B17" s="4" t="s">
        <v>13</v>
      </c>
      <c r="C17" s="4"/>
      <c r="D17" s="4"/>
      <c r="E17" s="4"/>
      <c r="F17" s="4"/>
      <c r="G17" s="4"/>
      <c r="H17" s="4"/>
      <c r="I17" s="4"/>
      <c r="J17" s="4"/>
      <c r="K17" s="4"/>
      <c r="L17" s="4"/>
    </row>
    <row r="18" customFormat="false" ht="27.75" hidden="false" customHeight="true" outlineLevel="0" collapsed="false">
      <c r="B18" s="4" t="s">
        <v>14</v>
      </c>
      <c r="C18" s="4"/>
      <c r="D18" s="4"/>
      <c r="E18" s="4"/>
      <c r="F18" s="4"/>
      <c r="G18" s="4"/>
      <c r="H18" s="4"/>
      <c r="I18" s="4"/>
      <c r="J18" s="4"/>
      <c r="K18" s="4"/>
      <c r="L18" s="4"/>
    </row>
    <row r="19" customFormat="false" ht="27.75" hidden="false" customHeight="true" outlineLevel="0" collapsed="false">
      <c r="B19" s="4" t="s">
        <v>15</v>
      </c>
      <c r="C19" s="4"/>
      <c r="D19" s="4"/>
      <c r="E19" s="4"/>
      <c r="F19" s="4"/>
      <c r="G19" s="4"/>
      <c r="H19" s="4"/>
      <c r="I19" s="4"/>
      <c r="J19" s="4"/>
      <c r="K19" s="4"/>
      <c r="L19" s="4"/>
    </row>
    <row r="20" customFormat="false" ht="27.75" hidden="false" customHeight="true" outlineLevel="0" collapsed="false">
      <c r="B20" s="4" t="s">
        <v>16</v>
      </c>
      <c r="C20" s="4"/>
      <c r="D20" s="4"/>
      <c r="E20" s="4"/>
      <c r="F20" s="4"/>
      <c r="G20" s="4"/>
      <c r="H20" s="4"/>
      <c r="I20" s="4"/>
      <c r="J20" s="4"/>
      <c r="K20" s="4"/>
      <c r="L20" s="4"/>
    </row>
    <row r="21" customFormat="false" ht="27.75" hidden="false" customHeight="true" outlineLevel="0" collapsed="false">
      <c r="B21" s="4" t="s">
        <v>17</v>
      </c>
      <c r="C21" s="4"/>
      <c r="D21" s="4"/>
      <c r="E21" s="4"/>
      <c r="F21" s="4"/>
      <c r="G21" s="4"/>
      <c r="H21" s="4"/>
      <c r="I21" s="4"/>
      <c r="J21" s="4"/>
      <c r="K21" s="4"/>
      <c r="L21" s="4"/>
    </row>
    <row r="22" customFormat="false" ht="27.75" hidden="false" customHeight="true" outlineLevel="0" collapsed="false">
      <c r="B22" s="4" t="s">
        <v>18</v>
      </c>
      <c r="C22" s="4"/>
      <c r="D22" s="4"/>
      <c r="E22" s="4"/>
      <c r="F22" s="4"/>
      <c r="G22" s="4"/>
      <c r="H22" s="4"/>
      <c r="I22" s="4"/>
      <c r="J22" s="4"/>
      <c r="K22" s="4"/>
      <c r="L22" s="4"/>
    </row>
    <row r="23" customFormat="false" ht="27.75" hidden="false" customHeight="true" outlineLevel="0" collapsed="false">
      <c r="B23" s="4" t="s">
        <v>19</v>
      </c>
      <c r="C23" s="4"/>
      <c r="D23" s="4"/>
      <c r="E23" s="4"/>
      <c r="F23" s="4"/>
      <c r="G23" s="4"/>
      <c r="H23" s="4"/>
      <c r="I23" s="4"/>
      <c r="J23" s="4"/>
      <c r="K23" s="4"/>
      <c r="L23" s="4"/>
    </row>
    <row r="24" customFormat="false" ht="15" hidden="false" customHeight="true" outlineLevel="0" collapsed="false">
      <c r="B24" s="4"/>
      <c r="C24" s="4"/>
      <c r="D24" s="4"/>
      <c r="E24" s="4"/>
      <c r="F24" s="4"/>
      <c r="G24" s="4"/>
      <c r="H24" s="4"/>
      <c r="I24" s="4"/>
      <c r="J24" s="4"/>
      <c r="K24" s="4"/>
      <c r="L24" s="4"/>
    </row>
    <row r="25" customFormat="false" ht="15" hidden="false" customHeight="true" outlineLevel="0" collapsed="false">
      <c r="B25" s="3" t="s">
        <v>20</v>
      </c>
      <c r="C25" s="3"/>
      <c r="D25" s="3"/>
      <c r="E25" s="3"/>
      <c r="F25" s="3"/>
      <c r="G25" s="3"/>
      <c r="H25" s="3"/>
      <c r="I25" s="3"/>
      <c r="J25" s="3"/>
      <c r="K25" s="3"/>
      <c r="L25" s="3"/>
    </row>
    <row r="26" customFormat="false" ht="15" hidden="false" customHeight="true" outlineLevel="0" collapsed="false">
      <c r="B26" s="5" t="s">
        <v>21</v>
      </c>
      <c r="C26" s="5"/>
      <c r="D26" s="5"/>
      <c r="E26" s="5"/>
      <c r="F26" s="5"/>
      <c r="G26" s="5"/>
      <c r="H26" s="5"/>
      <c r="I26" s="5"/>
      <c r="J26" s="5"/>
      <c r="K26" s="5"/>
      <c r="L26" s="5"/>
    </row>
    <row r="27" customFormat="false" ht="15" hidden="false" customHeight="true" outlineLevel="0" collapsed="false">
      <c r="B27" s="4" t="s">
        <v>22</v>
      </c>
      <c r="C27" s="4"/>
      <c r="D27" s="4"/>
      <c r="E27" s="4"/>
      <c r="F27" s="4"/>
      <c r="G27" s="4"/>
      <c r="H27" s="4"/>
      <c r="I27" s="4"/>
      <c r="J27" s="4"/>
      <c r="K27" s="4"/>
      <c r="L27" s="4"/>
    </row>
    <row r="28" customFormat="false" ht="15" hidden="false" customHeight="true" outlineLevel="0" collapsed="false">
      <c r="B28" s="6" t="s">
        <v>23</v>
      </c>
      <c r="C28" s="6"/>
      <c r="D28" s="6"/>
      <c r="E28" s="6"/>
      <c r="F28" s="6"/>
      <c r="G28" s="6"/>
      <c r="H28" s="6"/>
      <c r="I28" s="6"/>
      <c r="J28" s="6"/>
      <c r="K28" s="6"/>
      <c r="L28" s="6"/>
    </row>
    <row r="29" customFormat="false" ht="15" hidden="false" customHeight="true" outlineLevel="0" collapsed="false">
      <c r="B29" s="4" t="s">
        <v>24</v>
      </c>
      <c r="C29" s="4"/>
      <c r="D29" s="4"/>
      <c r="E29" s="4"/>
      <c r="F29" s="4"/>
      <c r="G29" s="4"/>
      <c r="H29" s="4"/>
      <c r="I29" s="4"/>
      <c r="J29" s="4"/>
      <c r="K29" s="4"/>
      <c r="L29" s="4"/>
    </row>
  </sheetData>
  <mergeCells count="25">
    <mergeCell ref="B5:L5"/>
    <mergeCell ref="B6:L6"/>
    <mergeCell ref="B7:L7"/>
    <mergeCell ref="B8:L8"/>
    <mergeCell ref="B9:L9"/>
    <mergeCell ref="B10:L10"/>
    <mergeCell ref="B11:L11"/>
    <mergeCell ref="B12:L12"/>
    <mergeCell ref="B13:L13"/>
    <mergeCell ref="B14:L14"/>
    <mergeCell ref="B15:L15"/>
    <mergeCell ref="B16:L16"/>
    <mergeCell ref="B17:L17"/>
    <mergeCell ref="B18:L18"/>
    <mergeCell ref="B19:L19"/>
    <mergeCell ref="B20:L20"/>
    <mergeCell ref="B21:L21"/>
    <mergeCell ref="B22:L22"/>
    <mergeCell ref="B23:L23"/>
    <mergeCell ref="B24:L24"/>
    <mergeCell ref="B25:L25"/>
    <mergeCell ref="B26:L26"/>
    <mergeCell ref="B27:L27"/>
    <mergeCell ref="B28:L28"/>
    <mergeCell ref="B29:L2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P5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2" style="0" width="30"/>
    <col collapsed="false" customWidth="true" hidden="false" outlineLevel="0" max="11" min="3" style="0" width="12"/>
    <col collapsed="false" customWidth="true" hidden="false" outlineLevel="0" max="16" min="12" style="0" width="13"/>
  </cols>
  <sheetData>
    <row r="1" customFormat="false" ht="17.35" hidden="false" customHeight="false" outlineLevel="0" collapsed="false">
      <c r="B1" s="1" t="s">
        <v>25</v>
      </c>
    </row>
    <row r="2" customFormat="false" ht="15" hidden="false" customHeight="false" outlineLevel="0" collapsed="false">
      <c r="B2" s="2" t="s">
        <v>26</v>
      </c>
    </row>
    <row r="4" customFormat="false" ht="15" hidden="false" customHeight="false" outlineLevel="0" collapsed="false">
      <c r="B4" s="7" t="s">
        <v>27</v>
      </c>
      <c r="C4" s="8" t="s">
        <v>28</v>
      </c>
      <c r="E4" s="9" t="s">
        <v>29</v>
      </c>
      <c r="F4" s="9"/>
      <c r="G4" s="9"/>
      <c r="H4" s="9"/>
      <c r="I4" s="9"/>
      <c r="J4" s="10" t="s">
        <v>30</v>
      </c>
    </row>
    <row r="6" customFormat="false" ht="15" hidden="false" customHeight="false" outlineLevel="0" collapsed="false">
      <c r="B6" s="11" t="s">
        <v>31</v>
      </c>
      <c r="C6" s="11"/>
      <c r="D6" s="11"/>
      <c r="E6" s="11"/>
      <c r="F6" s="11"/>
      <c r="G6" s="11"/>
      <c r="H6" s="11"/>
      <c r="I6" s="11"/>
      <c r="J6" s="11"/>
      <c r="K6" s="11"/>
      <c r="L6" s="11"/>
      <c r="M6" s="11"/>
      <c r="N6" s="11"/>
      <c r="O6" s="11"/>
      <c r="P6" s="11"/>
    </row>
    <row r="7" customFormat="false" ht="42" hidden="false" customHeight="true" outlineLevel="0" collapsed="false">
      <c r="B7" s="12" t="s">
        <v>32</v>
      </c>
      <c r="C7" s="12" t="s">
        <v>33</v>
      </c>
      <c r="D7" s="12" t="s">
        <v>34</v>
      </c>
      <c r="E7" s="12" t="s">
        <v>35</v>
      </c>
      <c r="F7" s="12" t="s">
        <v>36</v>
      </c>
      <c r="G7" s="12" t="s">
        <v>37</v>
      </c>
      <c r="H7" s="12" t="s">
        <v>38</v>
      </c>
      <c r="I7" s="12" t="s">
        <v>39</v>
      </c>
      <c r="J7" s="12" t="s">
        <v>40</v>
      </c>
      <c r="K7" s="12" t="s">
        <v>41</v>
      </c>
      <c r="L7" s="12" t="s">
        <v>42</v>
      </c>
      <c r="M7" s="12" t="s">
        <v>43</v>
      </c>
      <c r="N7" s="12" t="s">
        <v>44</v>
      </c>
      <c r="O7" s="12" t="s">
        <v>45</v>
      </c>
      <c r="P7" s="12" t="s">
        <v>46</v>
      </c>
    </row>
    <row r="8" customFormat="false" ht="15" hidden="false" customHeight="false" outlineLevel="0" collapsed="false">
      <c r="B8" s="13" t="s">
        <v>47</v>
      </c>
      <c r="C8" s="14" t="n">
        <v>0</v>
      </c>
      <c r="D8" s="15"/>
      <c r="E8" s="16"/>
      <c r="F8" s="14" t="n">
        <v>0</v>
      </c>
      <c r="G8" s="16" t="n">
        <v>0.7</v>
      </c>
      <c r="H8" s="16" t="n">
        <v>0.5</v>
      </c>
      <c r="I8" s="16"/>
      <c r="J8" s="16" t="n">
        <v>0</v>
      </c>
      <c r="K8" s="16" t="n">
        <v>0</v>
      </c>
      <c r="L8" s="15"/>
      <c r="M8" s="15"/>
      <c r="N8" s="14" t="n">
        <v>0</v>
      </c>
      <c r="O8" s="16" t="n">
        <v>0</v>
      </c>
      <c r="P8" s="16" t="n">
        <v>0</v>
      </c>
    </row>
    <row r="9" customFormat="false" ht="15" hidden="false" customHeight="false" outlineLevel="0" collapsed="false">
      <c r="B9" s="13" t="s">
        <v>48</v>
      </c>
      <c r="C9" s="14" t="n">
        <v>4</v>
      </c>
      <c r="D9" s="15" t="n">
        <v>210000</v>
      </c>
      <c r="E9" s="16" t="n">
        <v>0</v>
      </c>
      <c r="F9" s="14" t="n">
        <v>26</v>
      </c>
      <c r="G9" s="16" t="n">
        <v>0.7</v>
      </c>
      <c r="H9" s="16" t="n">
        <v>0.5</v>
      </c>
      <c r="I9" s="16" t="n">
        <v>0</v>
      </c>
      <c r="J9" s="16" t="n">
        <v>0</v>
      </c>
      <c r="K9" s="16" t="n">
        <v>0</v>
      </c>
      <c r="L9" s="15"/>
      <c r="M9" s="15" t="n">
        <v>100000</v>
      </c>
      <c r="N9" s="14" t="n">
        <v>0</v>
      </c>
      <c r="O9" s="16" t="n">
        <v>0</v>
      </c>
      <c r="P9" s="16" t="n">
        <v>0</v>
      </c>
    </row>
    <row r="10" customFormat="false" ht="15" hidden="false" customHeight="false" outlineLevel="0" collapsed="false">
      <c r="B10" s="13" t="s">
        <v>49</v>
      </c>
      <c r="C10" s="14" t="n">
        <v>15</v>
      </c>
      <c r="D10" s="15" t="n">
        <v>201000</v>
      </c>
      <c r="E10" s="16" t="n">
        <v>0</v>
      </c>
      <c r="F10" s="14" t="n">
        <v>15</v>
      </c>
      <c r="G10" s="16" t="n">
        <v>0.75</v>
      </c>
      <c r="H10" s="16" t="n">
        <v>0.55</v>
      </c>
      <c r="I10" s="16" t="n">
        <v>0</v>
      </c>
      <c r="J10" s="16" t="n">
        <v>0</v>
      </c>
      <c r="K10" s="16" t="n">
        <v>0</v>
      </c>
      <c r="L10" s="15"/>
      <c r="M10" s="15" t="n">
        <v>100000</v>
      </c>
      <c r="N10" s="14" t="n">
        <v>0</v>
      </c>
      <c r="O10" s="16" t="n">
        <v>0</v>
      </c>
      <c r="P10" s="16" t="n">
        <v>0</v>
      </c>
    </row>
    <row r="11" customFormat="false" ht="15" hidden="false" customHeight="false" outlineLevel="0" collapsed="false">
      <c r="B11" s="13" t="s">
        <v>50</v>
      </c>
      <c r="C11" s="14" t="n">
        <v>23</v>
      </c>
      <c r="D11" s="15" t="n">
        <v>217000</v>
      </c>
      <c r="E11" s="16" t="n">
        <v>0</v>
      </c>
      <c r="F11" s="14" t="n">
        <v>14</v>
      </c>
      <c r="G11" s="16" t="n">
        <v>0.8</v>
      </c>
      <c r="H11" s="16" t="n">
        <v>0.6</v>
      </c>
      <c r="I11" s="16" t="n">
        <v>0</v>
      </c>
      <c r="J11" s="16" t="n">
        <v>0</v>
      </c>
      <c r="K11" s="16" t="n">
        <v>0</v>
      </c>
      <c r="L11" s="15"/>
      <c r="M11" s="15" t="n">
        <v>100000</v>
      </c>
      <c r="N11" s="14" t="n">
        <v>0</v>
      </c>
      <c r="O11" s="16" t="n">
        <v>0</v>
      </c>
      <c r="P11" s="16" t="n">
        <v>0</v>
      </c>
    </row>
    <row r="12" customFormat="false" ht="15" hidden="false" customHeight="false" outlineLevel="0" collapsed="false">
      <c r="B12" s="13" t="s">
        <v>51</v>
      </c>
      <c r="C12" s="14" t="n">
        <v>33</v>
      </c>
      <c r="D12" s="15" t="n">
        <v>217000</v>
      </c>
      <c r="E12" s="16" t="n">
        <v>0.2</v>
      </c>
      <c r="F12" s="14" t="n">
        <v>0</v>
      </c>
      <c r="G12" s="16" t="n">
        <v>0.7</v>
      </c>
      <c r="H12" s="16" t="n">
        <v>0.5</v>
      </c>
      <c r="I12" s="16" t="n">
        <v>0</v>
      </c>
      <c r="J12" s="16" t="n">
        <v>0</v>
      </c>
      <c r="K12" s="16" t="n">
        <v>0</v>
      </c>
      <c r="L12" s="15"/>
      <c r="M12" s="15" t="n">
        <v>100000</v>
      </c>
      <c r="N12" s="14" t="n">
        <v>5</v>
      </c>
      <c r="O12" s="16" t="n">
        <v>0.5</v>
      </c>
      <c r="P12" s="16" t="n">
        <v>-0.4</v>
      </c>
    </row>
    <row r="13" customFormat="false" ht="15" hidden="false" customHeight="false" outlineLevel="0" collapsed="false">
      <c r="B13" s="13" t="s">
        <v>52</v>
      </c>
      <c r="C13" s="14" t="n">
        <v>34</v>
      </c>
      <c r="D13" s="15" t="n">
        <v>227000</v>
      </c>
      <c r="E13" s="16" t="n">
        <v>0.2</v>
      </c>
      <c r="F13" s="14" t="n">
        <v>0</v>
      </c>
      <c r="G13" s="16" t="n">
        <v>0.7</v>
      </c>
      <c r="H13" s="16" t="n">
        <v>0.5</v>
      </c>
      <c r="I13" s="16" t="n">
        <v>0</v>
      </c>
      <c r="J13" s="16" t="n">
        <v>0</v>
      </c>
      <c r="K13" s="16" t="n">
        <v>0</v>
      </c>
      <c r="L13" s="15"/>
      <c r="M13" s="15" t="n">
        <v>100000</v>
      </c>
      <c r="N13" s="14" t="n">
        <v>5</v>
      </c>
      <c r="O13" s="16" t="n">
        <v>0.5</v>
      </c>
      <c r="P13" s="16" t="n">
        <v>-0.4</v>
      </c>
    </row>
    <row r="14" customFormat="false" ht="15" hidden="false" customHeight="false" outlineLevel="0" collapsed="false">
      <c r="B14" s="13" t="s">
        <v>53</v>
      </c>
      <c r="C14" s="14" t="n">
        <v>32</v>
      </c>
      <c r="D14" s="15" t="n">
        <v>232000</v>
      </c>
      <c r="E14" s="16" t="n">
        <v>0.2</v>
      </c>
      <c r="F14" s="14" t="n">
        <v>0</v>
      </c>
      <c r="G14" s="16" t="n">
        <v>0.7</v>
      </c>
      <c r="H14" s="16" t="n">
        <v>0.5</v>
      </c>
      <c r="I14" s="16" t="n">
        <v>0</v>
      </c>
      <c r="J14" s="16" t="n">
        <v>0</v>
      </c>
      <c r="K14" s="16" t="n">
        <v>0</v>
      </c>
      <c r="L14" s="15"/>
      <c r="M14" s="15" t="n">
        <v>100000</v>
      </c>
      <c r="N14" s="14" t="n">
        <v>5</v>
      </c>
      <c r="O14" s="16" t="n">
        <v>0.5</v>
      </c>
      <c r="P14" s="16" t="n">
        <v>-0.4</v>
      </c>
    </row>
    <row r="15" customFormat="false" ht="15" hidden="false" customHeight="false" outlineLevel="0" collapsed="false">
      <c r="B15" s="13" t="s">
        <v>54</v>
      </c>
      <c r="C15" s="14" t="n">
        <v>31</v>
      </c>
      <c r="D15" s="15" t="n">
        <v>254000</v>
      </c>
      <c r="E15" s="16" t="n">
        <v>0.2</v>
      </c>
      <c r="F15" s="14" t="n">
        <v>1</v>
      </c>
      <c r="G15" s="16" t="n">
        <v>0.7</v>
      </c>
      <c r="H15" s="16" t="n">
        <v>0.5</v>
      </c>
      <c r="I15" s="16" t="n">
        <v>0</v>
      </c>
      <c r="J15" s="16" t="n">
        <v>0</v>
      </c>
      <c r="K15" s="16" t="n">
        <v>0</v>
      </c>
      <c r="L15" s="15"/>
      <c r="M15" s="15" t="n">
        <v>100000</v>
      </c>
      <c r="N15" s="14" t="n">
        <v>5</v>
      </c>
      <c r="O15" s="16" t="n">
        <v>0.5</v>
      </c>
      <c r="P15" s="16" t="n">
        <v>-0.4</v>
      </c>
    </row>
    <row r="16" customFormat="false" ht="15" hidden="false" customHeight="false" outlineLevel="0" collapsed="false">
      <c r="B16" s="13" t="s">
        <v>55</v>
      </c>
      <c r="C16" s="14" t="n">
        <v>31</v>
      </c>
      <c r="D16" s="15" t="n">
        <v>270000</v>
      </c>
      <c r="E16" s="16" t="n">
        <v>0.2</v>
      </c>
      <c r="F16" s="14" t="n">
        <v>1</v>
      </c>
      <c r="G16" s="16" t="n">
        <v>0.7</v>
      </c>
      <c r="H16" s="16" t="n">
        <v>0.5</v>
      </c>
      <c r="I16" s="16" t="n">
        <v>0.2</v>
      </c>
      <c r="J16" s="16" t="n">
        <v>-0.1</v>
      </c>
      <c r="K16" s="16" t="n">
        <v>0.1</v>
      </c>
      <c r="L16" s="15" t="n">
        <v>200000</v>
      </c>
      <c r="M16" s="15" t="n">
        <v>100000</v>
      </c>
      <c r="N16" s="14" t="n">
        <v>3</v>
      </c>
      <c r="O16" s="16" t="n">
        <v>0.5</v>
      </c>
      <c r="P16" s="16" t="n">
        <v>-0.4</v>
      </c>
    </row>
    <row r="17" customFormat="false" ht="15" hidden="false" customHeight="false" outlineLevel="0" collapsed="false">
      <c r="B17" s="13" t="s">
        <v>56</v>
      </c>
      <c r="C17" s="14" t="n">
        <v>27</v>
      </c>
      <c r="D17" s="15" t="n">
        <v>288000</v>
      </c>
      <c r="E17" s="16" t="n">
        <v>0.2</v>
      </c>
      <c r="F17" s="14" t="n">
        <v>3</v>
      </c>
      <c r="G17" s="16" t="n">
        <v>0.7</v>
      </c>
      <c r="H17" s="16" t="n">
        <v>0.5</v>
      </c>
      <c r="I17" s="16" t="n">
        <v>0.2</v>
      </c>
      <c r="J17" s="16" t="n">
        <v>-0.1</v>
      </c>
      <c r="K17" s="16" t="n">
        <v>0.1</v>
      </c>
      <c r="L17" s="15" t="n">
        <v>200000</v>
      </c>
      <c r="M17" s="15" t="n">
        <v>100000</v>
      </c>
      <c r="N17" s="14" t="n">
        <v>2</v>
      </c>
      <c r="O17" s="16" t="n">
        <v>0.5</v>
      </c>
      <c r="P17" s="16" t="n">
        <v>-0.4</v>
      </c>
    </row>
    <row r="18" customFormat="false" ht="15" hidden="false" customHeight="false" outlineLevel="0" collapsed="false">
      <c r="B18" s="13" t="s">
        <v>57</v>
      </c>
      <c r="C18" s="14" t="n">
        <v>25</v>
      </c>
      <c r="D18" s="15" t="n">
        <v>304000</v>
      </c>
      <c r="E18" s="16" t="n">
        <v>0.2</v>
      </c>
      <c r="F18" s="14" t="n">
        <v>5</v>
      </c>
      <c r="G18" s="16" t="n">
        <v>0.65</v>
      </c>
      <c r="H18" s="16" t="n">
        <v>0.45</v>
      </c>
      <c r="I18" s="16" t="n">
        <v>0.3</v>
      </c>
      <c r="J18" s="16" t="n">
        <v>-0.1</v>
      </c>
      <c r="K18" s="16" t="n">
        <v>0.1</v>
      </c>
      <c r="L18" s="15" t="n">
        <v>200000</v>
      </c>
      <c r="M18" s="15" t="n">
        <v>100000</v>
      </c>
      <c r="N18" s="14" t="n">
        <v>2</v>
      </c>
      <c r="O18" s="16" t="n">
        <v>0.5</v>
      </c>
      <c r="P18" s="16" t="n">
        <v>-0.4</v>
      </c>
    </row>
    <row r="19" customFormat="false" ht="15" hidden="false" customHeight="false" outlineLevel="0" collapsed="false">
      <c r="B19" s="13" t="s">
        <v>58</v>
      </c>
      <c r="C19" s="14" t="n">
        <v>26</v>
      </c>
      <c r="D19" s="15" t="n">
        <v>319000</v>
      </c>
      <c r="E19" s="16" t="n">
        <v>0.2</v>
      </c>
      <c r="F19" s="14" t="n">
        <v>4</v>
      </c>
      <c r="G19" s="16" t="n">
        <v>0.65</v>
      </c>
      <c r="H19" s="16" t="n">
        <v>0.45</v>
      </c>
      <c r="I19" s="16" t="n">
        <v>0.3</v>
      </c>
      <c r="J19" s="16" t="n">
        <v>-0.1</v>
      </c>
      <c r="K19" s="16" t="n">
        <v>0.1</v>
      </c>
      <c r="L19" s="15" t="n">
        <v>200000</v>
      </c>
      <c r="M19" s="15" t="n">
        <v>100000</v>
      </c>
      <c r="N19" s="14" t="n">
        <v>1</v>
      </c>
      <c r="O19" s="16" t="n">
        <v>0.5</v>
      </c>
      <c r="P19" s="16" t="n">
        <v>-0.4</v>
      </c>
    </row>
    <row r="20" customFormat="false" ht="15" hidden="false" customHeight="false" outlineLevel="0" collapsed="false">
      <c r="B20" s="13" t="s">
        <v>59</v>
      </c>
      <c r="C20" s="14" t="n">
        <v>30</v>
      </c>
      <c r="D20" s="15" t="n">
        <v>332000</v>
      </c>
      <c r="E20" s="16" t="n">
        <v>0.2</v>
      </c>
      <c r="F20" s="14" t="n">
        <v>0</v>
      </c>
      <c r="G20" s="16" t="n">
        <v>0.7</v>
      </c>
      <c r="H20" s="16" t="n">
        <v>0.5</v>
      </c>
      <c r="I20" s="16" t="n">
        <v>0.2</v>
      </c>
      <c r="J20" s="16" t="n">
        <v>-0.1</v>
      </c>
      <c r="K20" s="16" t="n">
        <v>0.1</v>
      </c>
      <c r="L20" s="15" t="n">
        <v>200000</v>
      </c>
      <c r="M20" s="15" t="n">
        <v>100000</v>
      </c>
      <c r="N20" s="14" t="n">
        <v>0</v>
      </c>
      <c r="O20" s="16" t="n">
        <v>0</v>
      </c>
      <c r="P20" s="16" t="n">
        <v>0</v>
      </c>
    </row>
    <row r="21" customFormat="false" ht="15" hidden="false" customHeight="false" outlineLevel="0" collapsed="false">
      <c r="B21" s="13" t="s">
        <v>60</v>
      </c>
      <c r="C21" s="14" t="n">
        <v>26</v>
      </c>
      <c r="D21" s="15" t="n">
        <v>294000</v>
      </c>
      <c r="E21" s="16" t="n">
        <v>0.2</v>
      </c>
      <c r="F21" s="14" t="n">
        <v>34</v>
      </c>
      <c r="G21" s="16" t="n">
        <v>0.5</v>
      </c>
      <c r="H21" s="16" t="n">
        <v>0.3</v>
      </c>
      <c r="I21" s="16" t="n">
        <v>0.1</v>
      </c>
      <c r="J21" s="16" t="n">
        <v>-0.1</v>
      </c>
      <c r="K21" s="16" t="n">
        <v>0.1</v>
      </c>
      <c r="L21" s="15" t="n">
        <v>200000</v>
      </c>
      <c r="M21" s="15" t="n">
        <v>100000</v>
      </c>
      <c r="N21" s="14" t="n">
        <v>0</v>
      </c>
      <c r="O21" s="16" t="n">
        <v>0</v>
      </c>
      <c r="P21" s="16" t="n">
        <v>0</v>
      </c>
    </row>
    <row r="22" customFormat="false" ht="15" hidden="false" customHeight="false" outlineLevel="0" collapsed="false">
      <c r="B22" s="13" t="s">
        <v>61</v>
      </c>
      <c r="C22" s="14" t="n">
        <v>29</v>
      </c>
      <c r="D22" s="15" t="n">
        <v>306000</v>
      </c>
      <c r="E22" s="16" t="n">
        <v>0.2</v>
      </c>
      <c r="F22" s="14" t="n">
        <v>1</v>
      </c>
      <c r="G22" s="16" t="n">
        <v>0.7</v>
      </c>
      <c r="H22" s="16" t="n">
        <v>0.5</v>
      </c>
      <c r="I22" s="16" t="n">
        <v>0</v>
      </c>
      <c r="J22" s="16" t="n">
        <v>0</v>
      </c>
      <c r="K22" s="16" t="n">
        <v>0</v>
      </c>
      <c r="L22" s="15"/>
      <c r="M22" s="15" t="n">
        <v>100000</v>
      </c>
      <c r="N22" s="14" t="n">
        <v>0</v>
      </c>
      <c r="O22" s="16" t="n">
        <v>0</v>
      </c>
      <c r="P22" s="16" t="n">
        <v>0</v>
      </c>
    </row>
    <row r="23" customFormat="false" ht="15" hidden="false" customHeight="false" outlineLevel="0" collapsed="false">
      <c r="B23" s="17" t="s">
        <v>62</v>
      </c>
      <c r="C23" s="18" t="n">
        <f aca="false">SUM(C8:C22)</f>
        <v>366</v>
      </c>
      <c r="D23" s="19"/>
      <c r="E23" s="19"/>
      <c r="F23" s="18" t="n">
        <f aca="false">SUM(F8:F22)</f>
        <v>104</v>
      </c>
      <c r="G23" s="19"/>
      <c r="H23" s="19"/>
      <c r="I23" s="19"/>
      <c r="J23" s="19"/>
      <c r="K23" s="19"/>
      <c r="L23" s="19"/>
      <c r="M23" s="19"/>
      <c r="N23" s="18" t="n">
        <f aca="false">SUM(N8:N22)</f>
        <v>28</v>
      </c>
      <c r="O23" s="19"/>
      <c r="P23" s="19"/>
    </row>
    <row r="25" customFormat="false" ht="15" hidden="false" customHeight="false" outlineLevel="0" collapsed="false">
      <c r="B25" s="11" t="s">
        <v>63</v>
      </c>
      <c r="C25" s="11"/>
      <c r="D25" s="11"/>
      <c r="E25" s="11"/>
      <c r="F25" s="11"/>
      <c r="G25" s="11"/>
      <c r="H25" s="11"/>
      <c r="I25" s="11"/>
      <c r="J25" s="11"/>
      <c r="K25" s="11"/>
      <c r="L25" s="11"/>
      <c r="M25" s="11"/>
      <c r="N25" s="11"/>
      <c r="O25" s="11"/>
      <c r="P25" s="11"/>
    </row>
    <row r="26" customFormat="false" ht="15" hidden="false" customHeight="false" outlineLevel="0" collapsed="false">
      <c r="B26" s="20" t="s">
        <v>64</v>
      </c>
      <c r="C26" s="20" t="s">
        <v>65</v>
      </c>
    </row>
    <row r="27" customFormat="false" ht="15" hidden="false" customHeight="false" outlineLevel="0" collapsed="false">
      <c r="B27" s="21" t="s">
        <v>66</v>
      </c>
      <c r="C27" s="22" t="n">
        <v>57969300</v>
      </c>
    </row>
    <row r="28" customFormat="false" ht="15" hidden="false" customHeight="false" outlineLevel="0" collapsed="false">
      <c r="B28" s="21" t="s">
        <v>67</v>
      </c>
      <c r="C28" s="22" t="n">
        <v>2750000</v>
      </c>
    </row>
    <row r="29" customFormat="false" ht="15" hidden="false" customHeight="false" outlineLevel="0" collapsed="false">
      <c r="B29" s="21" t="s">
        <v>68</v>
      </c>
      <c r="C29" s="22" t="n">
        <v>24347100</v>
      </c>
    </row>
    <row r="30" customFormat="false" ht="15" hidden="false" customHeight="false" outlineLevel="0" collapsed="false">
      <c r="B30" s="21" t="s">
        <v>69</v>
      </c>
      <c r="C30" s="22" t="n">
        <v>1069196</v>
      </c>
    </row>
    <row r="31" customFormat="false" ht="15" hidden="false" customHeight="false" outlineLevel="0" collapsed="false">
      <c r="B31" s="21" t="s">
        <v>70</v>
      </c>
      <c r="C31" s="22" t="n">
        <v>2500000</v>
      </c>
    </row>
    <row r="32" customFormat="false" ht="15" hidden="false" customHeight="false" outlineLevel="0" collapsed="false">
      <c r="B32" s="21" t="s">
        <v>71</v>
      </c>
      <c r="C32" s="22" t="n">
        <v>13045454</v>
      </c>
    </row>
    <row r="33" customFormat="false" ht="15" hidden="false" customHeight="false" outlineLevel="0" collapsed="false">
      <c r="B33" s="21" t="s">
        <v>72</v>
      </c>
      <c r="C33" s="22" t="n">
        <v>5000000</v>
      </c>
    </row>
    <row r="34" customFormat="false" ht="15" hidden="false" customHeight="false" outlineLevel="0" collapsed="false">
      <c r="B34" s="21" t="s">
        <v>73</v>
      </c>
      <c r="C34" s="22" t="n">
        <v>2500000</v>
      </c>
    </row>
    <row r="35" customFormat="false" ht="15" hidden="false" customHeight="false" outlineLevel="0" collapsed="false">
      <c r="B35" s="21" t="s">
        <v>74</v>
      </c>
      <c r="C35" s="22" t="n">
        <v>4200000</v>
      </c>
    </row>
    <row r="36" customFormat="false" ht="15" hidden="false" customHeight="false" outlineLevel="0" collapsed="false">
      <c r="B36" s="21" t="s">
        <v>75</v>
      </c>
      <c r="C36" s="22" t="n">
        <f aca="false">11338105/3</f>
        <v>3779368.33333333</v>
      </c>
    </row>
    <row r="37" customFormat="false" ht="15" hidden="false" customHeight="false" outlineLevel="0" collapsed="false">
      <c r="B37" s="23" t="s">
        <v>76</v>
      </c>
      <c r="C37" s="24" t="n">
        <f aca="false">SUM(C27:C36)</f>
        <v>117160418.333333</v>
      </c>
    </row>
    <row r="39" customFormat="false" ht="15" hidden="false" customHeight="false" outlineLevel="0" collapsed="false">
      <c r="B39" s="11" t="s">
        <v>77</v>
      </c>
      <c r="C39" s="11"/>
      <c r="D39" s="11"/>
      <c r="E39" s="11"/>
      <c r="F39" s="11"/>
      <c r="G39" s="11"/>
      <c r="H39" s="11"/>
      <c r="I39" s="11"/>
      <c r="J39" s="11"/>
      <c r="K39" s="11"/>
      <c r="L39" s="11"/>
      <c r="M39" s="11"/>
      <c r="N39" s="11"/>
      <c r="O39" s="11"/>
      <c r="P39" s="11"/>
    </row>
    <row r="40" customFormat="false" ht="61.5" hidden="false" customHeight="true" outlineLevel="0" collapsed="false">
      <c r="B40" s="25" t="s">
        <v>78</v>
      </c>
      <c r="C40" s="25"/>
      <c r="D40" s="25"/>
      <c r="E40" s="25"/>
      <c r="F40" s="25"/>
      <c r="G40" s="25"/>
      <c r="H40" s="25"/>
      <c r="I40" s="25"/>
      <c r="J40" s="25"/>
      <c r="K40" s="25"/>
      <c r="L40" s="25"/>
      <c r="M40" s="25"/>
      <c r="N40" s="25"/>
      <c r="O40" s="25"/>
      <c r="P40" s="25"/>
    </row>
    <row r="41" customFormat="false" ht="33.75" hidden="false" customHeight="true" outlineLevel="0" collapsed="false">
      <c r="B41" s="26" t="s">
        <v>79</v>
      </c>
      <c r="C41" s="26" t="s">
        <v>80</v>
      </c>
      <c r="D41" s="26" t="s">
        <v>81</v>
      </c>
      <c r="E41" s="26" t="s">
        <v>82</v>
      </c>
      <c r="F41" s="26" t="s">
        <v>83</v>
      </c>
      <c r="G41" s="26" t="s">
        <v>84</v>
      </c>
    </row>
    <row r="42" customFormat="false" ht="15" hidden="false" customHeight="false" outlineLevel="0" collapsed="false">
      <c r="B42" s="13" t="s">
        <v>85</v>
      </c>
      <c r="C42" s="16" t="n">
        <v>0.92</v>
      </c>
      <c r="D42" s="16" t="n">
        <v>0.03</v>
      </c>
      <c r="E42" s="27" t="n">
        <v>1</v>
      </c>
      <c r="F42" s="27" t="n">
        <v>1</v>
      </c>
      <c r="G42" s="27" t="n">
        <v>1</v>
      </c>
    </row>
    <row r="43" customFormat="false" ht="15" hidden="false" customHeight="false" outlineLevel="0" collapsed="false">
      <c r="B43" s="13" t="s">
        <v>28</v>
      </c>
      <c r="C43" s="16" t="n">
        <v>0.97</v>
      </c>
      <c r="D43" s="16" t="n">
        <v>0</v>
      </c>
      <c r="E43" s="27" t="n">
        <v>1</v>
      </c>
      <c r="F43" s="28" t="n">
        <v>1</v>
      </c>
      <c r="G43" s="28" t="n">
        <v>1</v>
      </c>
    </row>
    <row r="44" customFormat="false" ht="15" hidden="false" customHeight="false" outlineLevel="0" collapsed="false">
      <c r="B44" s="13" t="s">
        <v>86</v>
      </c>
      <c r="C44" s="16" t="n">
        <v>0.99</v>
      </c>
      <c r="D44" s="16" t="n">
        <v>-0.02</v>
      </c>
      <c r="E44" s="28" t="n">
        <v>1</v>
      </c>
      <c r="F44" s="27" t="n">
        <v>1</v>
      </c>
      <c r="G44" s="27" t="n">
        <v>1</v>
      </c>
    </row>
    <row r="46" customFormat="false" ht="15" hidden="false" customHeight="false" outlineLevel="0" collapsed="false">
      <c r="B46" s="11" t="s">
        <v>87</v>
      </c>
      <c r="C46" s="11"/>
      <c r="D46" s="11"/>
      <c r="E46" s="11"/>
      <c r="F46" s="11"/>
      <c r="G46" s="11"/>
      <c r="H46" s="11"/>
      <c r="I46" s="11"/>
      <c r="J46" s="11"/>
      <c r="K46" s="11"/>
      <c r="L46" s="11"/>
      <c r="M46" s="11"/>
      <c r="N46" s="11"/>
      <c r="O46" s="11"/>
      <c r="P46" s="11"/>
    </row>
    <row r="47" customFormat="false" ht="27.75" hidden="false" customHeight="true" outlineLevel="0" collapsed="false">
      <c r="B47" s="29" t="s">
        <v>88</v>
      </c>
      <c r="C47" s="29"/>
      <c r="D47" s="29"/>
      <c r="E47" s="29"/>
      <c r="F47" s="30" t="n">
        <v>0</v>
      </c>
    </row>
    <row r="48" customFormat="false" ht="27.75" hidden="false" customHeight="true" outlineLevel="0" collapsed="false">
      <c r="B48" s="29" t="s">
        <v>89</v>
      </c>
      <c r="C48" s="29"/>
      <c r="D48" s="29"/>
      <c r="E48" s="29"/>
      <c r="F48" s="30" t="n">
        <v>0</v>
      </c>
    </row>
    <row r="51" customFormat="false" ht="15" hidden="false" customHeight="false" outlineLevel="0" collapsed="false">
      <c r="B51" s="11" t="s">
        <v>90</v>
      </c>
      <c r="C51" s="11"/>
      <c r="D51" s="11"/>
      <c r="E51" s="11"/>
      <c r="F51" s="11"/>
      <c r="G51" s="11"/>
      <c r="H51" s="11"/>
      <c r="I51" s="11"/>
      <c r="J51" s="11"/>
      <c r="K51" s="11"/>
      <c r="L51" s="11"/>
      <c r="M51" s="11"/>
      <c r="N51" s="11"/>
      <c r="O51" s="11"/>
      <c r="P51" s="11"/>
    </row>
    <row r="52" customFormat="false" ht="75.75" hidden="false" customHeight="true" outlineLevel="0" collapsed="false">
      <c r="B52" s="25" t="s">
        <v>91</v>
      </c>
      <c r="C52" s="25"/>
      <c r="D52" s="25"/>
      <c r="E52" s="25"/>
      <c r="F52" s="25"/>
      <c r="G52" s="25"/>
      <c r="H52" s="25"/>
      <c r="I52" s="25"/>
      <c r="J52" s="25"/>
      <c r="K52" s="25"/>
      <c r="L52" s="25"/>
      <c r="M52" s="25"/>
      <c r="N52" s="25"/>
      <c r="O52" s="25"/>
      <c r="P52" s="25"/>
    </row>
    <row r="53" customFormat="false" ht="15" hidden="false" customHeight="false" outlineLevel="0" collapsed="false">
      <c r="B53" s="9" t="s">
        <v>92</v>
      </c>
      <c r="C53" s="9"/>
      <c r="D53" s="9"/>
      <c r="E53" s="9"/>
      <c r="F53" s="31" t="n">
        <v>0.13</v>
      </c>
    </row>
    <row r="55" customFormat="false" ht="33.75" hidden="false" customHeight="true" outlineLevel="0" collapsed="false">
      <c r="B55" s="12" t="s">
        <v>79</v>
      </c>
      <c r="C55" s="12" t="s">
        <v>93</v>
      </c>
    </row>
    <row r="56" customFormat="false" ht="15" hidden="false" customHeight="false" outlineLevel="0" collapsed="false">
      <c r="B56" s="13" t="s">
        <v>85</v>
      </c>
      <c r="C56" s="32" t="n">
        <v>15</v>
      </c>
    </row>
    <row r="57" customFormat="false" ht="15" hidden="false" customHeight="false" outlineLevel="0" collapsed="false">
      <c r="B57" s="13" t="s">
        <v>28</v>
      </c>
      <c r="C57" s="32" t="n">
        <v>30</v>
      </c>
    </row>
    <row r="58" customFormat="false" ht="15" hidden="false" customHeight="false" outlineLevel="0" collapsed="false">
      <c r="B58" s="13" t="s">
        <v>86</v>
      </c>
      <c r="C58" s="32" t="n">
        <v>35</v>
      </c>
    </row>
  </sheetData>
  <mergeCells count="11">
    <mergeCell ref="E4:I4"/>
    <mergeCell ref="B6:P6"/>
    <mergeCell ref="B25:P25"/>
    <mergeCell ref="B39:P39"/>
    <mergeCell ref="B40:P40"/>
    <mergeCell ref="B46:P46"/>
    <mergeCell ref="B47:E47"/>
    <mergeCell ref="B48:E48"/>
    <mergeCell ref="B51:P51"/>
    <mergeCell ref="B52:P52"/>
    <mergeCell ref="B53:E53"/>
  </mergeCells>
  <dataValidations count="2">
    <dataValidation allowBlank="false" errorStyle="stop" operator="between" showDropDown="false" showErrorMessage="false" showInputMessage="false" sqref="C4" type="list">
      <formula1>"Pessimistic,Realistic,Optimistic"</formula1>
      <formula2>0</formula2>
    </dataValidation>
    <dataValidation allowBlank="false" errorStyle="stop" operator="between" showDropDown="false" showErrorMessage="false" showInputMessage="false" sqref="J4" type="list">
      <formula1>"Yes,No"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S52"/>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2" min="2" style="0" width="30"/>
    <col collapsed="false" customWidth="true" hidden="false" outlineLevel="0" max="9" min="3" style="0" width="14"/>
    <col collapsed="false" customWidth="true" hidden="false" outlineLevel="0" max="10" min="10" style="0" width="12"/>
    <col collapsed="false" customWidth="true" hidden="false" outlineLevel="0" max="11" min="11" style="0" width="14"/>
    <col collapsed="false" customWidth="true" hidden="false" outlineLevel="0" max="13" min="12" style="0" width="3"/>
    <col collapsed="false" customWidth="true" hidden="false" outlineLevel="0" max="15" min="14" style="0" width="14"/>
    <col collapsed="false" customWidth="true" hidden="false" outlineLevel="0" max="16" min="16" style="0" width="3"/>
    <col collapsed="false" customWidth="true" hidden="false" outlineLevel="0" max="17" min="17" style="0" width="14"/>
    <col collapsed="false" customWidth="true" hidden="false" outlineLevel="0" max="19" min="18" style="0" width="3"/>
  </cols>
  <sheetData>
    <row r="1" customFormat="false" ht="17.35" hidden="false" customHeight="false" outlineLevel="0" collapsed="false">
      <c r="B1" s="1" t="s">
        <v>94</v>
      </c>
    </row>
    <row r="2" customFormat="false" ht="15" hidden="false" customHeight="false" outlineLevel="0" collapsed="false">
      <c r="B2" s="2" t="s">
        <v>95</v>
      </c>
    </row>
    <row r="4" customFormat="false" ht="15" hidden="false" customHeight="false" outlineLevel="0" collapsed="false">
      <c r="B4" s="7" t="s">
        <v>96</v>
      </c>
      <c r="C4" s="33" t="str">
        <f aca="false">Inputs!$C$4</f>
        <v>Realistic</v>
      </c>
      <c r="D4" s="33"/>
      <c r="E4" s="34" t="s">
        <v>97</v>
      </c>
      <c r="F4" s="34"/>
      <c r="G4" s="34"/>
      <c r="H4" s="34"/>
      <c r="I4" s="34"/>
      <c r="J4" s="34"/>
      <c r="K4" s="34"/>
    </row>
    <row r="6" customFormat="false" ht="25.5" hidden="false" customHeight="true" outlineLevel="0" collapsed="false">
      <c r="B6" s="35" t="s">
        <v>98</v>
      </c>
      <c r="C6" s="35"/>
      <c r="D6" s="35"/>
      <c r="E6" s="35" t="s">
        <v>99</v>
      </c>
      <c r="F6" s="35"/>
      <c r="G6" s="35"/>
      <c r="H6" s="35" t="s">
        <v>100</v>
      </c>
      <c r="I6" s="35"/>
      <c r="J6" s="35"/>
      <c r="K6" s="35" t="s">
        <v>101</v>
      </c>
      <c r="L6" s="35"/>
      <c r="M6" s="35"/>
      <c r="N6" s="35" t="s">
        <v>102</v>
      </c>
      <c r="O6" s="35"/>
      <c r="P6" s="35"/>
      <c r="Q6" s="35" t="s">
        <v>103</v>
      </c>
      <c r="R6" s="35"/>
      <c r="S6" s="35"/>
    </row>
    <row r="7" customFormat="false" ht="15" hidden="false" customHeight="false" outlineLevel="0" collapsed="false">
      <c r="B7" s="36" t="n">
        <f aca="false">CHOOSE(MATCH(Inputs!$C$4,{"Pessimistic","Realistic","Optimistic"},0),Calculations!C96,Calculations!D96,Calculations!E96)</f>
        <v>143005244.3</v>
      </c>
      <c r="C7" s="36"/>
      <c r="D7" s="36"/>
      <c r="E7" s="36" t="n">
        <f aca="false">CHOOSE(MATCH(Inputs!$C$4,{"Pessimistic","Realistic","Optimistic"},0),Calculations!C100,Calculations!D100,Calculations!E100)</f>
        <v>117160418.333333</v>
      </c>
      <c r="F7" s="36"/>
      <c r="G7" s="36"/>
      <c r="H7" s="36" t="n">
        <f aca="false">CHOOSE(MATCH(Inputs!$C$4,{"Pessimistic","Realistic","Optimistic"},0),Calculations!C101,Calculations!D101,Calculations!E101)</f>
        <v>25844825.9666667</v>
      </c>
      <c r="I7" s="36"/>
      <c r="J7" s="36"/>
      <c r="K7" s="36" t="n">
        <f aca="false">CHOOSE(MATCH(Inputs!$C$4,{"Pessimistic","Realistic","Optimistic"},0),Calculations!C107,Calculations!D107,Calculations!E107)</f>
        <v>15937771.6666667</v>
      </c>
      <c r="L7" s="36"/>
      <c r="M7" s="36"/>
      <c r="N7" s="36" t="n">
        <f aca="false">CHOOSE(MATCH(Inputs!$C$4,{"Pessimistic","Realistic","Optimistic"},0),Calculations!C112,Calculations!D112,Calculations!E112)</f>
        <v>17251590</v>
      </c>
      <c r="O7" s="36"/>
      <c r="P7" s="36"/>
      <c r="Q7" s="36" t="n">
        <f aca="false">CHOOSE(MATCH(Inputs!$C$4,{"Pessimistic","Realistic","Optimistic"},0),Calculations!C117,Calculations!D117,Calculations!E117)</f>
        <v>13900000</v>
      </c>
      <c r="R7" s="36"/>
      <c r="S7" s="36"/>
    </row>
    <row r="8" customFormat="false" ht="21.75" hidden="false" customHeight="true" outlineLevel="0" collapsed="false">
      <c r="B8" s="36"/>
      <c r="C8" s="36"/>
      <c r="D8" s="36"/>
      <c r="E8" s="36"/>
      <c r="F8" s="36"/>
      <c r="G8" s="36"/>
      <c r="H8" s="36"/>
      <c r="I8" s="36"/>
      <c r="J8" s="36"/>
      <c r="K8" s="36"/>
      <c r="L8" s="36"/>
      <c r="M8" s="36"/>
      <c r="N8" s="36"/>
      <c r="O8" s="36"/>
      <c r="P8" s="36"/>
      <c r="Q8" s="36"/>
      <c r="R8" s="36"/>
      <c r="S8" s="36"/>
    </row>
    <row r="11" customFormat="false" ht="15" hidden="false" customHeight="false" outlineLevel="0" collapsed="false">
      <c r="B11" s="11" t="s">
        <v>104</v>
      </c>
      <c r="C11" s="11"/>
      <c r="D11" s="11"/>
      <c r="E11" s="11"/>
    </row>
    <row r="12" customFormat="false" ht="15" hidden="false" customHeight="false" outlineLevel="0" collapsed="false">
      <c r="B12" s="37" t="s">
        <v>105</v>
      </c>
      <c r="C12" s="37" t="s">
        <v>85</v>
      </c>
      <c r="D12" s="37" t="s">
        <v>28</v>
      </c>
      <c r="E12" s="37" t="s">
        <v>86</v>
      </c>
    </row>
    <row r="13" customFormat="false" ht="15" hidden="false" customHeight="false" outlineLevel="0" collapsed="false">
      <c r="B13" s="21" t="s">
        <v>106</v>
      </c>
      <c r="C13" s="38" t="n">
        <f aca="false">Calculations!C86</f>
        <v>48</v>
      </c>
      <c r="D13" s="38" t="n">
        <f aca="false">Calculations!D86</f>
        <v>68</v>
      </c>
      <c r="E13" s="38" t="n">
        <f aca="false">Calculations!E86</f>
        <v>104</v>
      </c>
    </row>
    <row r="14" customFormat="false" ht="15" hidden="false" customHeight="false" outlineLevel="0" collapsed="false">
      <c r="B14" s="21" t="s">
        <v>107</v>
      </c>
      <c r="C14" s="38" t="n">
        <f aca="false">Calculations!C87</f>
        <v>45</v>
      </c>
      <c r="D14" s="38" t="n">
        <f aca="false">Calculations!D87</f>
        <v>28</v>
      </c>
      <c r="E14" s="38" t="n">
        <f aca="false">Calculations!E87</f>
        <v>17</v>
      </c>
    </row>
    <row r="15" customFormat="false" ht="15" hidden="false" customHeight="false" outlineLevel="0" collapsed="false">
      <c r="B15" s="21" t="s">
        <v>108</v>
      </c>
      <c r="C15" s="38" t="n">
        <f aca="false">Calculations!C88</f>
        <v>17</v>
      </c>
      <c r="D15" s="38" t="n">
        <f aca="false">Calculations!D88</f>
        <v>28</v>
      </c>
      <c r="E15" s="38" t="n">
        <f aca="false">Calculations!E88</f>
        <v>17</v>
      </c>
    </row>
    <row r="16" customFormat="false" ht="15" hidden="false" customHeight="false" outlineLevel="0" collapsed="false">
      <c r="B16" s="23" t="s">
        <v>109</v>
      </c>
      <c r="C16" s="39" t="n">
        <f aca="false">Calculations!C89</f>
        <v>28</v>
      </c>
      <c r="D16" s="39" t="n">
        <f aca="false">Calculations!D89</f>
        <v>0</v>
      </c>
      <c r="E16" s="39" t="n">
        <f aca="false">Calculations!E89</f>
        <v>0</v>
      </c>
    </row>
    <row r="17" customFormat="false" ht="15" hidden="false" customHeight="false" outlineLevel="0" collapsed="false">
      <c r="B17" s="21" t="s">
        <v>110</v>
      </c>
      <c r="C17" s="38" t="n">
        <f aca="false">Calculations!C90</f>
        <v>386</v>
      </c>
      <c r="D17" s="38" t="n">
        <f aca="false">Calculations!D90</f>
        <v>434</v>
      </c>
      <c r="E17" s="38" t="n">
        <f aca="false">Calculations!E90</f>
        <v>470</v>
      </c>
    </row>
    <row r="18" customFormat="false" ht="15" hidden="false" customHeight="false" outlineLevel="0" collapsed="false">
      <c r="B18" s="21" t="s">
        <v>111</v>
      </c>
      <c r="C18" s="40" t="n">
        <f aca="false">Calculations!C91</f>
        <v>119411930</v>
      </c>
      <c r="D18" s="40" t="n">
        <f aca="false">Calculations!D91</f>
        <v>133098190</v>
      </c>
      <c r="E18" s="40" t="n">
        <f aca="false">Calculations!E91</f>
        <v>143879330</v>
      </c>
    </row>
    <row r="19" customFormat="false" ht="15" hidden="false" customHeight="false" outlineLevel="0" collapsed="false">
      <c r="B19" s="21" t="s">
        <v>112</v>
      </c>
      <c r="C19" s="40" t="n">
        <f aca="false">Calculations!C93</f>
        <v>109858975.6</v>
      </c>
      <c r="D19" s="40" t="n">
        <f aca="false">Calculations!D93</f>
        <v>129105244.3</v>
      </c>
      <c r="E19" s="40" t="n">
        <f aca="false">Calculations!E93</f>
        <v>142440536.7</v>
      </c>
    </row>
    <row r="20" customFormat="false" ht="15" hidden="false" customHeight="false" outlineLevel="0" collapsed="false">
      <c r="B20" s="21" t="s">
        <v>113</v>
      </c>
      <c r="C20" s="40" t="n">
        <f aca="false">Calculations!C94</f>
        <v>3580000</v>
      </c>
      <c r="D20" s="40" t="n">
        <f aca="false">Calculations!D94</f>
        <v>7100000</v>
      </c>
      <c r="E20" s="40" t="n">
        <f aca="false">Calculations!E94</f>
        <v>10400000</v>
      </c>
    </row>
    <row r="21" customFormat="false" ht="15" hidden="false" customHeight="false" outlineLevel="0" collapsed="false">
      <c r="B21" s="21" t="s">
        <v>114</v>
      </c>
      <c r="C21" s="40" t="n">
        <f aca="false">Calculations!C95</f>
        <v>4800000</v>
      </c>
      <c r="D21" s="40" t="n">
        <f aca="false">Calculations!D95</f>
        <v>6800000</v>
      </c>
      <c r="E21" s="40" t="n">
        <f aca="false">Calculations!E95</f>
        <v>10400000</v>
      </c>
    </row>
    <row r="22" customFormat="false" ht="15" hidden="false" customHeight="false" outlineLevel="0" collapsed="false">
      <c r="B22" s="23" t="s">
        <v>115</v>
      </c>
      <c r="C22" s="41" t="n">
        <f aca="false">Calculations!C96</f>
        <v>118238975.6</v>
      </c>
      <c r="D22" s="41" t="n">
        <f aca="false">Calculations!D96</f>
        <v>143005244.3</v>
      </c>
      <c r="E22" s="41" t="n">
        <f aca="false">Calculations!E96</f>
        <v>163240536.7</v>
      </c>
    </row>
    <row r="23" customFormat="false" ht="15" hidden="false" customHeight="false" outlineLevel="0" collapsed="false">
      <c r="B23" s="23" t="s">
        <v>116</v>
      </c>
      <c r="C23" s="41" t="n">
        <f aca="false">Calculations!C100</f>
        <v>120675230.883333</v>
      </c>
      <c r="D23" s="41" t="n">
        <f aca="false">Calculations!D100</f>
        <v>117160418.333333</v>
      </c>
      <c r="E23" s="41" t="n">
        <f aca="false">Calculations!E100</f>
        <v>114817209.966667</v>
      </c>
    </row>
    <row r="24" customFormat="false" ht="15" hidden="false" customHeight="false" outlineLevel="0" collapsed="false">
      <c r="B24" s="23" t="s">
        <v>117</v>
      </c>
      <c r="C24" s="41" t="n">
        <f aca="false">Calculations!C101</f>
        <v>-2436255.28333332</v>
      </c>
      <c r="D24" s="41" t="n">
        <f aca="false">Calculations!D101</f>
        <v>25844825.9666667</v>
      </c>
      <c r="E24" s="41" t="n">
        <f aca="false">Calculations!E101</f>
        <v>48423326.7333333</v>
      </c>
    </row>
    <row r="25" customFormat="false" ht="15" hidden="false" customHeight="false" outlineLevel="0" collapsed="false">
      <c r="B25" s="23" t="s">
        <v>118</v>
      </c>
      <c r="C25" s="41" t="n">
        <f aca="false">Calculations!C105</f>
        <v>119411930</v>
      </c>
      <c r="D25" s="41" t="n">
        <f aca="false">Calculations!D105</f>
        <v>133098190</v>
      </c>
      <c r="E25" s="41" t="n">
        <f aca="false">Calculations!E105</f>
        <v>143879330</v>
      </c>
    </row>
    <row r="26" customFormat="false" ht="15" hidden="false" customHeight="false" outlineLevel="0" collapsed="false">
      <c r="B26" s="21" t="s">
        <v>119</v>
      </c>
      <c r="C26" s="40" t="n">
        <f aca="false">Calculations!C106</f>
        <v>120675230.883333</v>
      </c>
      <c r="D26" s="40" t="n">
        <f aca="false">Calculations!D106</f>
        <v>117160418.333333</v>
      </c>
      <c r="E26" s="40" t="n">
        <f aca="false">Calculations!E106</f>
        <v>114817209.966667</v>
      </c>
    </row>
    <row r="27" customFormat="false" ht="15" hidden="false" customHeight="false" outlineLevel="0" collapsed="false">
      <c r="B27" s="23" t="s">
        <v>120</v>
      </c>
      <c r="C27" s="41" t="n">
        <f aca="false">Calculations!C107</f>
        <v>-1263300.88333333</v>
      </c>
      <c r="D27" s="41" t="n">
        <f aca="false">Calculations!D107</f>
        <v>15937771.6666667</v>
      </c>
      <c r="E27" s="41" t="n">
        <f aca="false">Calculations!E107</f>
        <v>29062120.0333333</v>
      </c>
    </row>
    <row r="28" customFormat="false" ht="15" hidden="false" customHeight="false" outlineLevel="0" collapsed="false">
      <c r="B28" s="21" t="s">
        <v>121</v>
      </c>
      <c r="C28" s="38" t="n">
        <f aca="false">Calculations!C109</f>
        <v>54</v>
      </c>
      <c r="D28" s="38" t="n">
        <f aca="false">Calculations!D109</f>
        <v>54</v>
      </c>
      <c r="E28" s="38" t="n">
        <f aca="false">Calculations!E109</f>
        <v>54</v>
      </c>
    </row>
    <row r="29" customFormat="false" ht="15" hidden="false" customHeight="false" outlineLevel="0" collapsed="false">
      <c r="B29" s="23" t="s">
        <v>122</v>
      </c>
      <c r="C29" s="39" t="n">
        <f aca="false">Calculations!C110</f>
        <v>26</v>
      </c>
      <c r="D29" s="39" t="n">
        <f aca="false">Calculations!D110</f>
        <v>54</v>
      </c>
      <c r="E29" s="39" t="n">
        <f aca="false">Calculations!E110</f>
        <v>54</v>
      </c>
    </row>
    <row r="30" customFormat="false" ht="15" hidden="false" customHeight="false" outlineLevel="0" collapsed="false">
      <c r="B30" s="21" t="s">
        <v>123</v>
      </c>
      <c r="C30" s="40" t="n">
        <f aca="false">Calculations!C111</f>
        <v>4792330</v>
      </c>
      <c r="D30" s="40" t="n">
        <f aca="false">Calculations!D111</f>
        <v>7868190</v>
      </c>
      <c r="E30" s="40" t="n">
        <f aca="false">Calculations!E111</f>
        <v>4792330</v>
      </c>
    </row>
    <row r="31" customFormat="false" ht="15" hidden="false" customHeight="false" outlineLevel="0" collapsed="false">
      <c r="B31" s="23" t="s">
        <v>124</v>
      </c>
      <c r="C31" s="41" t="n">
        <f aca="false">Calculations!C112</f>
        <v>9086530</v>
      </c>
      <c r="D31" s="41" t="n">
        <f aca="false">Calculations!D112</f>
        <v>17251590</v>
      </c>
      <c r="E31" s="41" t="n">
        <f aca="false">Calculations!E112</f>
        <v>17442130</v>
      </c>
    </row>
    <row r="32" customFormat="false" ht="15" hidden="false" customHeight="false" outlineLevel="0" collapsed="false">
      <c r="B32" s="23" t="s">
        <v>125</v>
      </c>
      <c r="C32" s="41" t="n">
        <f aca="false">Calculations!C117</f>
        <v>8380000</v>
      </c>
      <c r="D32" s="41" t="n">
        <f aca="false">Calculations!D117</f>
        <v>13900000</v>
      </c>
      <c r="E32" s="41" t="n">
        <f aca="false">Calculations!E117</f>
        <v>20800000</v>
      </c>
    </row>
    <row r="35" customFormat="false" ht="15" hidden="false" customHeight="false" outlineLevel="0" collapsed="false">
      <c r="B35" s="11" t="s">
        <v>126</v>
      </c>
      <c r="C35" s="11"/>
      <c r="D35" s="11"/>
      <c r="E35" s="11"/>
      <c r="F35" s="11"/>
      <c r="G35" s="11"/>
      <c r="H35" s="11"/>
      <c r="I35" s="11"/>
      <c r="J35" s="11"/>
    </row>
    <row r="36" customFormat="false" ht="27.75" hidden="false" customHeight="true" outlineLevel="0" collapsed="false">
      <c r="B36" s="12" t="s">
        <v>32</v>
      </c>
      <c r="C36" s="12" t="s">
        <v>33</v>
      </c>
      <c r="D36" s="12" t="s">
        <v>127</v>
      </c>
      <c r="E36" s="12" t="s">
        <v>128</v>
      </c>
      <c r="F36" s="12" t="s">
        <v>129</v>
      </c>
      <c r="G36" s="12" t="s">
        <v>130</v>
      </c>
      <c r="H36" s="12" t="s">
        <v>131</v>
      </c>
      <c r="I36" s="12" t="s">
        <v>132</v>
      </c>
      <c r="J36" s="12" t="s">
        <v>133</v>
      </c>
    </row>
    <row r="37" customFormat="false" ht="15" hidden="false" customHeight="false" outlineLevel="0" collapsed="false">
      <c r="B37" s="42" t="str">
        <f aca="false">CHOOSE(MATCH(Inputs!$C$4,{"Pessimistic","Realistic","Optimistic"},0),Calculations!B6,Calculations!B26,Calculations!B46)</f>
        <v>Pre-KG</v>
      </c>
      <c r="C37" s="38" t="n">
        <f aca="false">CHOOSE(MATCH(Inputs!$C$4,{"Pessimistic","Realistic","Optimistic"},0),Calculations!C6,Calculations!C26,Calculations!C46)</f>
        <v>0</v>
      </c>
      <c r="D37" s="38" t="n">
        <f aca="false">CHOOSE(MATCH(Inputs!$C$4,{"Pessimistic","Realistic","Optimistic"},0),Calculations!D6,Calculations!D26,Calculations!D46)</f>
        <v>0</v>
      </c>
      <c r="E37" s="38" t="n">
        <f aca="false">CHOOSE(MATCH(Inputs!$C$4,{"Pessimistic","Realistic","Optimistic"},0),Calculations!E6,Calculations!E26,Calculations!E46)</f>
        <v>0</v>
      </c>
      <c r="F37" s="40" t="n">
        <f aca="false">CHOOSE(MATCH(Inputs!$C$4,{"Pessimistic","Realistic","Optimistic"},0),Calculations!F6,Calculations!F26,Calculations!F46)</f>
        <v>0</v>
      </c>
      <c r="G37" s="43" t="n">
        <f aca="false">CHOOSE(MATCH(Inputs!$C$4,{"Pessimistic","Realistic","Optimistic"},0),Calculations!G6,Calculations!G26,Calculations!G46)</f>
        <v>0</v>
      </c>
      <c r="H37" s="40" t="n">
        <f aca="false">CHOOSE(MATCH(Inputs!$C$4,{"Pessimistic","Realistic","Optimistic"},0),Calculations!H6,Calculations!H26,Calculations!H46)</f>
        <v>0</v>
      </c>
      <c r="I37" s="40" t="n">
        <f aca="false">CHOOSE(MATCH(Inputs!$C$4,{"Pessimistic","Realistic","Optimistic"},0),Calculations!I6,Calculations!I26,Calculations!I46)</f>
        <v>0</v>
      </c>
      <c r="J37" s="38" t="n">
        <f aca="false">CHOOSE(MATCH(Inputs!$C$4,{"Pessimistic","Realistic","Optimistic"},0),Calculations!L6,Calculations!L26,Calculations!L46)</f>
        <v>0</v>
      </c>
    </row>
    <row r="38" customFormat="false" ht="15" hidden="false" customHeight="false" outlineLevel="0" collapsed="false">
      <c r="B38" s="42" t="str">
        <f aca="false">CHOOSE(MATCH(Inputs!$C$4,{"Pessimistic","Realistic","Optimistic"},0),Calculations!B7,Calculations!B27,Calculations!B47)</f>
        <v>LKG</v>
      </c>
      <c r="C38" s="38" t="n">
        <f aca="false">CHOOSE(MATCH(Inputs!$C$4,{"Pessimistic","Realistic","Optimistic"},0),Calculations!C7,Calculations!C27,Calculations!C47)</f>
        <v>4</v>
      </c>
      <c r="D38" s="38" t="n">
        <f aca="false">CHOOSE(MATCH(Inputs!$C$4,{"Pessimistic","Realistic","Optimistic"},0),Calculations!D7,Calculations!D27,Calculations!D47)</f>
        <v>18</v>
      </c>
      <c r="E38" s="38" t="n">
        <f aca="false">CHOOSE(MATCH(Inputs!$C$4,{"Pessimistic","Realistic","Optimistic"},0),Calculations!E7,Calculations!E27,Calculations!E47)</f>
        <v>22</v>
      </c>
      <c r="F38" s="40" t="n">
        <f aca="false">CHOOSE(MATCH(Inputs!$C$4,{"Pessimistic","Realistic","Optimistic"},0),Calculations!F7,Calculations!F27,Calculations!F47)</f>
        <v>4620000</v>
      </c>
      <c r="G38" s="43" t="n">
        <f aca="false">CHOOSE(MATCH(Inputs!$C$4,{"Pessimistic","Realistic","Optimistic"},0),Calculations!G7,Calculations!G27,Calculations!G47)</f>
        <v>0</v>
      </c>
      <c r="H38" s="40" t="n">
        <f aca="false">CHOOSE(MATCH(Inputs!$C$4,{"Pessimistic","Realistic","Optimistic"},0),Calculations!H7,Calculations!H27,Calculations!H47)</f>
        <v>0</v>
      </c>
      <c r="I38" s="40" t="n">
        <f aca="false">CHOOSE(MATCH(Inputs!$C$4,{"Pessimistic","Realistic","Optimistic"},0),Calculations!I7,Calculations!I27,Calculations!I47)</f>
        <v>1800000</v>
      </c>
      <c r="J38" s="38" t="n">
        <f aca="false">CHOOSE(MATCH(Inputs!$C$4,{"Pessimistic","Realistic","Optimistic"},0),Calculations!L7,Calculations!L27,Calculations!L47)</f>
        <v>0</v>
      </c>
    </row>
    <row r="39" customFormat="false" ht="15" hidden="false" customHeight="false" outlineLevel="0" collapsed="false">
      <c r="B39" s="42" t="str">
        <f aca="false">CHOOSE(MATCH(Inputs!$C$4,{"Pessimistic","Realistic","Optimistic"},0),Calculations!B8,Calculations!B28,Calculations!B48)</f>
        <v>UKG</v>
      </c>
      <c r="C39" s="38" t="n">
        <f aca="false">CHOOSE(MATCH(Inputs!$C$4,{"Pessimistic","Realistic","Optimistic"},0),Calculations!C8,Calculations!C28,Calculations!C48)</f>
        <v>15</v>
      </c>
      <c r="D39" s="38" t="n">
        <f aca="false">CHOOSE(MATCH(Inputs!$C$4,{"Pessimistic","Realistic","Optimistic"},0),Calculations!D8,Calculations!D28,Calculations!D48)</f>
        <v>11</v>
      </c>
      <c r="E39" s="38" t="n">
        <f aca="false">CHOOSE(MATCH(Inputs!$C$4,{"Pessimistic","Realistic","Optimistic"},0),Calculations!E8,Calculations!E28,Calculations!E48)</f>
        <v>26</v>
      </c>
      <c r="F39" s="40" t="n">
        <f aca="false">CHOOSE(MATCH(Inputs!$C$4,{"Pessimistic","Realistic","Optimistic"},0),Calculations!F8,Calculations!F28,Calculations!F48)</f>
        <v>5226000</v>
      </c>
      <c r="G39" s="43" t="n">
        <f aca="false">CHOOSE(MATCH(Inputs!$C$4,{"Pessimistic","Realistic","Optimistic"},0),Calculations!G8,Calculations!G28,Calculations!G48)</f>
        <v>0</v>
      </c>
      <c r="H39" s="40" t="n">
        <f aca="false">CHOOSE(MATCH(Inputs!$C$4,{"Pessimistic","Realistic","Optimistic"},0),Calculations!H8,Calculations!H28,Calculations!H48)</f>
        <v>0</v>
      </c>
      <c r="I39" s="40" t="n">
        <f aca="false">CHOOSE(MATCH(Inputs!$C$4,{"Pessimistic","Realistic","Optimistic"},0),Calculations!I8,Calculations!I28,Calculations!I48)</f>
        <v>1100000</v>
      </c>
      <c r="J39" s="38" t="n">
        <f aca="false">CHOOSE(MATCH(Inputs!$C$4,{"Pessimistic","Realistic","Optimistic"},0),Calculations!L8,Calculations!L28,Calculations!L48)</f>
        <v>0</v>
      </c>
    </row>
    <row r="40" customFormat="false" ht="15" hidden="false" customHeight="false" outlineLevel="0" collapsed="false">
      <c r="B40" s="42" t="str">
        <f aca="false">CHOOSE(MATCH(Inputs!$C$4,{"Pessimistic","Realistic","Optimistic"},0),Calculations!B9,Calculations!B29,Calculations!B49)</f>
        <v>I</v>
      </c>
      <c r="C40" s="38" t="n">
        <f aca="false">CHOOSE(MATCH(Inputs!$C$4,{"Pessimistic","Realistic","Optimistic"},0),Calculations!C9,Calculations!C29,Calculations!C49)</f>
        <v>23</v>
      </c>
      <c r="D40" s="38" t="n">
        <f aca="false">CHOOSE(MATCH(Inputs!$C$4,{"Pessimistic","Realistic","Optimistic"},0),Calculations!D9,Calculations!D29,Calculations!D49)</f>
        <v>11</v>
      </c>
      <c r="E40" s="38" t="n">
        <f aca="false">CHOOSE(MATCH(Inputs!$C$4,{"Pessimistic","Realistic","Optimistic"},0),Calculations!E9,Calculations!E29,Calculations!E49)</f>
        <v>34</v>
      </c>
      <c r="F40" s="40" t="n">
        <f aca="false">CHOOSE(MATCH(Inputs!$C$4,{"Pessimistic","Realistic","Optimistic"},0),Calculations!F9,Calculations!F29,Calculations!F49)</f>
        <v>7378000</v>
      </c>
      <c r="G40" s="43" t="n">
        <f aca="false">CHOOSE(MATCH(Inputs!$C$4,{"Pessimistic","Realistic","Optimistic"},0),Calculations!G9,Calculations!G29,Calculations!G49)</f>
        <v>0</v>
      </c>
      <c r="H40" s="40" t="n">
        <f aca="false">CHOOSE(MATCH(Inputs!$C$4,{"Pessimistic","Realistic","Optimistic"},0),Calculations!H9,Calculations!H29,Calculations!H49)</f>
        <v>0</v>
      </c>
      <c r="I40" s="40" t="n">
        <f aca="false">CHOOSE(MATCH(Inputs!$C$4,{"Pessimistic","Realistic","Optimistic"},0),Calculations!I9,Calculations!I29,Calculations!I49)</f>
        <v>1100000</v>
      </c>
      <c r="J40" s="38" t="n">
        <f aca="false">CHOOSE(MATCH(Inputs!$C$4,{"Pessimistic","Realistic","Optimistic"},0),Calculations!L9,Calculations!L29,Calculations!L49)</f>
        <v>0</v>
      </c>
    </row>
    <row r="41" customFormat="false" ht="15" hidden="false" customHeight="false" outlineLevel="0" collapsed="false">
      <c r="B41" s="42" t="str">
        <f aca="false">CHOOSE(MATCH(Inputs!$C$4,{"Pessimistic","Realistic","Optimistic"},0),Calculations!B10,Calculations!B30,Calculations!B50)</f>
        <v>II</v>
      </c>
      <c r="C41" s="38" t="n">
        <f aca="false">CHOOSE(MATCH(Inputs!$C$4,{"Pessimistic","Realistic","Optimistic"},0),Calculations!C10,Calculations!C30,Calculations!C50)</f>
        <v>33</v>
      </c>
      <c r="D41" s="38" t="n">
        <f aca="false">CHOOSE(MATCH(Inputs!$C$4,{"Pessimistic","Realistic","Optimistic"},0),Calculations!D10,Calculations!D30,Calculations!D50)</f>
        <v>0</v>
      </c>
      <c r="E41" s="38" t="n">
        <f aca="false">CHOOSE(MATCH(Inputs!$C$4,{"Pessimistic","Realistic","Optimistic"},0),Calculations!E10,Calculations!E30,Calculations!E50)</f>
        <v>33</v>
      </c>
      <c r="F41" s="40" t="n">
        <f aca="false">CHOOSE(MATCH(Inputs!$C$4,{"Pessimistic","Realistic","Optimistic"},0),Calculations!F10,Calculations!F30,Calculations!F50)</f>
        <v>8517250</v>
      </c>
      <c r="G41" s="43" t="n">
        <f aca="false">CHOOSE(MATCH(Inputs!$C$4,{"Pessimistic","Realistic","Optimistic"},0),Calculations!G10,Calculations!G30,Calculations!G50)</f>
        <v>0</v>
      </c>
      <c r="H41" s="40" t="n">
        <f aca="false">CHOOSE(MATCH(Inputs!$C$4,{"Pessimistic","Realistic","Optimistic"},0),Calculations!H10,Calculations!H30,Calculations!H50)</f>
        <v>0</v>
      </c>
      <c r="I41" s="40" t="n">
        <f aca="false">CHOOSE(MATCH(Inputs!$C$4,{"Pessimistic","Realistic","Optimistic"},0),Calculations!I10,Calculations!I30,Calculations!I50)</f>
        <v>0</v>
      </c>
      <c r="J41" s="38" t="n">
        <f aca="false">CHOOSE(MATCH(Inputs!$C$4,{"Pessimistic","Realistic","Optimistic"},0),Calculations!L10,Calculations!L30,Calculations!L50)</f>
        <v>0</v>
      </c>
    </row>
    <row r="42" customFormat="false" ht="15" hidden="false" customHeight="false" outlineLevel="0" collapsed="false">
      <c r="B42" s="42" t="str">
        <f aca="false">CHOOSE(MATCH(Inputs!$C$4,{"Pessimistic","Realistic","Optimistic"},0),Calculations!B11,Calculations!B31,Calculations!B51)</f>
        <v>III</v>
      </c>
      <c r="C42" s="38" t="n">
        <f aca="false">CHOOSE(MATCH(Inputs!$C$4,{"Pessimistic","Realistic","Optimistic"},0),Calculations!C11,Calculations!C31,Calculations!C51)</f>
        <v>34</v>
      </c>
      <c r="D42" s="38" t="n">
        <f aca="false">CHOOSE(MATCH(Inputs!$C$4,{"Pessimistic","Realistic","Optimistic"},0),Calculations!D11,Calculations!D31,Calculations!D51)</f>
        <v>0</v>
      </c>
      <c r="E42" s="38" t="n">
        <f aca="false">CHOOSE(MATCH(Inputs!$C$4,{"Pessimistic","Realistic","Optimistic"},0),Calculations!E11,Calculations!E31,Calculations!E51)</f>
        <v>34</v>
      </c>
      <c r="F42" s="40" t="n">
        <f aca="false">CHOOSE(MATCH(Inputs!$C$4,{"Pessimistic","Realistic","Optimistic"},0),Calculations!F11,Calculations!F31,Calculations!F51)</f>
        <v>9182150</v>
      </c>
      <c r="G42" s="43" t="n">
        <f aca="false">CHOOSE(MATCH(Inputs!$C$4,{"Pessimistic","Realistic","Optimistic"},0),Calculations!G11,Calculations!G31,Calculations!G51)</f>
        <v>0</v>
      </c>
      <c r="H42" s="40" t="n">
        <f aca="false">CHOOSE(MATCH(Inputs!$C$4,{"Pessimistic","Realistic","Optimistic"},0),Calculations!H11,Calculations!H31,Calculations!H51)</f>
        <v>0</v>
      </c>
      <c r="I42" s="40" t="n">
        <f aca="false">CHOOSE(MATCH(Inputs!$C$4,{"Pessimistic","Realistic","Optimistic"},0),Calculations!I11,Calculations!I31,Calculations!I51)</f>
        <v>0</v>
      </c>
      <c r="J42" s="38" t="n">
        <f aca="false">CHOOSE(MATCH(Inputs!$C$4,{"Pessimistic","Realistic","Optimistic"},0),Calculations!L11,Calculations!L31,Calculations!L51)</f>
        <v>0</v>
      </c>
    </row>
    <row r="43" customFormat="false" ht="15" hidden="false" customHeight="false" outlineLevel="0" collapsed="false">
      <c r="B43" s="42" t="str">
        <f aca="false">CHOOSE(MATCH(Inputs!$C$4,{"Pessimistic","Realistic","Optimistic"},0),Calculations!B12,Calculations!B32,Calculations!B52)</f>
        <v>IV</v>
      </c>
      <c r="C43" s="38" t="n">
        <f aca="false">CHOOSE(MATCH(Inputs!$C$4,{"Pessimistic","Realistic","Optimistic"},0),Calculations!C12,Calculations!C32,Calculations!C52)</f>
        <v>32</v>
      </c>
      <c r="D43" s="38" t="n">
        <f aca="false">CHOOSE(MATCH(Inputs!$C$4,{"Pessimistic","Realistic","Optimistic"},0),Calculations!D12,Calculations!D32,Calculations!D52)</f>
        <v>0</v>
      </c>
      <c r="E43" s="38" t="n">
        <f aca="false">CHOOSE(MATCH(Inputs!$C$4,{"Pessimistic","Realistic","Optimistic"},0),Calculations!E12,Calculations!E32,Calculations!E52)</f>
        <v>32</v>
      </c>
      <c r="F43" s="40" t="n">
        <f aca="false">CHOOSE(MATCH(Inputs!$C$4,{"Pessimistic","Realistic","Optimistic"},0),Calculations!F12,Calculations!F32,Calculations!F52)</f>
        <v>8827600</v>
      </c>
      <c r="G43" s="43" t="n">
        <f aca="false">CHOOSE(MATCH(Inputs!$C$4,{"Pessimistic","Realistic","Optimistic"},0),Calculations!G12,Calculations!G32,Calculations!G52)</f>
        <v>0</v>
      </c>
      <c r="H43" s="40" t="n">
        <f aca="false">CHOOSE(MATCH(Inputs!$C$4,{"Pessimistic","Realistic","Optimistic"},0),Calculations!H12,Calculations!H32,Calculations!H52)</f>
        <v>0</v>
      </c>
      <c r="I43" s="40" t="n">
        <f aca="false">CHOOSE(MATCH(Inputs!$C$4,{"Pessimistic","Realistic","Optimistic"},0),Calculations!I12,Calculations!I32,Calculations!I52)</f>
        <v>0</v>
      </c>
      <c r="J43" s="38" t="n">
        <f aca="false">CHOOSE(MATCH(Inputs!$C$4,{"Pessimistic","Realistic","Optimistic"},0),Calculations!L12,Calculations!L32,Calculations!L52)</f>
        <v>0</v>
      </c>
    </row>
    <row r="44" customFormat="false" ht="15" hidden="false" customHeight="false" outlineLevel="0" collapsed="false">
      <c r="B44" s="42" t="str">
        <f aca="false">CHOOSE(MATCH(Inputs!$C$4,{"Pessimistic","Realistic","Optimistic"},0),Calculations!B13,Calculations!B33,Calculations!B53)</f>
        <v>V</v>
      </c>
      <c r="C44" s="38" t="n">
        <f aca="false">CHOOSE(MATCH(Inputs!$C$4,{"Pessimistic","Realistic","Optimistic"},0),Calculations!C13,Calculations!C33,Calculations!C53)</f>
        <v>31</v>
      </c>
      <c r="D44" s="38" t="n">
        <f aca="false">CHOOSE(MATCH(Inputs!$C$4,{"Pessimistic","Realistic","Optimistic"},0),Calculations!D13,Calculations!D33,Calculations!D53)</f>
        <v>1</v>
      </c>
      <c r="E44" s="38" t="n">
        <f aca="false">CHOOSE(MATCH(Inputs!$C$4,{"Pessimistic","Realistic","Optimistic"},0),Calculations!E13,Calculations!E33,Calculations!E53)</f>
        <v>32</v>
      </c>
      <c r="F44" s="40" t="n">
        <f aca="false">CHOOSE(MATCH(Inputs!$C$4,{"Pessimistic","Realistic","Optimistic"},0),Calculations!F13,Calculations!F33,Calculations!F53)</f>
        <v>9664700</v>
      </c>
      <c r="G44" s="43" t="n">
        <f aca="false">CHOOSE(MATCH(Inputs!$C$4,{"Pessimistic","Realistic","Optimistic"},0),Calculations!G13,Calculations!G33,Calculations!G53)</f>
        <v>0</v>
      </c>
      <c r="H44" s="40" t="n">
        <f aca="false">CHOOSE(MATCH(Inputs!$C$4,{"Pessimistic","Realistic","Optimistic"},0),Calculations!H13,Calculations!H33,Calculations!H53)</f>
        <v>0</v>
      </c>
      <c r="I44" s="40" t="n">
        <f aca="false">CHOOSE(MATCH(Inputs!$C$4,{"Pessimistic","Realistic","Optimistic"},0),Calculations!I13,Calculations!I33,Calculations!I53)</f>
        <v>100000</v>
      </c>
      <c r="J44" s="38" t="n">
        <f aca="false">CHOOSE(MATCH(Inputs!$C$4,{"Pessimistic","Realistic","Optimistic"},0),Calculations!L13,Calculations!L33,Calculations!L53)</f>
        <v>0</v>
      </c>
    </row>
    <row r="45" customFormat="false" ht="15" hidden="false" customHeight="false" outlineLevel="0" collapsed="false">
      <c r="B45" s="42" t="str">
        <f aca="false">CHOOSE(MATCH(Inputs!$C$4,{"Pessimistic","Realistic","Optimistic"},0),Calculations!B14,Calculations!B34,Calculations!B54)</f>
        <v>VI</v>
      </c>
      <c r="C45" s="38" t="n">
        <f aca="false">CHOOSE(MATCH(Inputs!$C$4,{"Pessimistic","Realistic","Optimistic"},0),Calculations!C14,Calculations!C34,Calculations!C54)</f>
        <v>31</v>
      </c>
      <c r="D45" s="38" t="n">
        <f aca="false">CHOOSE(MATCH(Inputs!$C$4,{"Pessimistic","Realistic","Optimistic"},0),Calculations!D14,Calculations!D34,Calculations!D54)</f>
        <v>1</v>
      </c>
      <c r="E45" s="38" t="n">
        <f aca="false">CHOOSE(MATCH(Inputs!$C$4,{"Pessimistic","Realistic","Optimistic"},0),Calculations!E14,Calculations!E34,Calculations!E54)</f>
        <v>32</v>
      </c>
      <c r="F45" s="40" t="n">
        <f aca="false">CHOOSE(MATCH(Inputs!$C$4,{"Pessimistic","Realistic","Optimistic"},0),Calculations!F14,Calculations!F34,Calculations!F54)</f>
        <v>10311300</v>
      </c>
      <c r="G45" s="43" t="n">
        <f aca="false">CHOOSE(MATCH(Inputs!$C$4,{"Pessimistic","Realistic","Optimistic"},0),Calculations!G14,Calculations!G34,Calculations!G54)</f>
        <v>0.2</v>
      </c>
      <c r="H45" s="40" t="n">
        <f aca="false">CHOOSE(MATCH(Inputs!$C$4,{"Pessimistic","Realistic","Optimistic"},0),Calculations!H14,Calculations!H34,Calculations!H54)</f>
        <v>1240000</v>
      </c>
      <c r="I45" s="40" t="n">
        <f aca="false">CHOOSE(MATCH(Inputs!$C$4,{"Pessimistic","Realistic","Optimistic"},0),Calculations!I14,Calculations!I34,Calculations!I54)</f>
        <v>100000</v>
      </c>
      <c r="J45" s="38" t="n">
        <f aca="false">CHOOSE(MATCH(Inputs!$C$4,{"Pessimistic","Realistic","Optimistic"},0),Calculations!L14,Calculations!L34,Calculations!L54)</f>
        <v>0</v>
      </c>
    </row>
    <row r="46" customFormat="false" ht="15" hidden="false" customHeight="false" outlineLevel="0" collapsed="false">
      <c r="B46" s="42" t="str">
        <f aca="false">CHOOSE(MATCH(Inputs!$C$4,{"Pessimistic","Realistic","Optimistic"},0),Calculations!B15,Calculations!B35,Calculations!B55)</f>
        <v>VII</v>
      </c>
      <c r="C46" s="38" t="n">
        <f aca="false">CHOOSE(MATCH(Inputs!$C$4,{"Pessimistic","Realistic","Optimistic"},0),Calculations!C15,Calculations!C35,Calculations!C55)</f>
        <v>27</v>
      </c>
      <c r="D46" s="38" t="n">
        <f aca="false">CHOOSE(MATCH(Inputs!$C$4,{"Pessimistic","Realistic","Optimistic"},0),Calculations!D15,Calculations!D35,Calculations!D55)</f>
        <v>2</v>
      </c>
      <c r="E46" s="38" t="n">
        <f aca="false">CHOOSE(MATCH(Inputs!$C$4,{"Pessimistic","Realistic","Optimistic"},0),Calculations!E15,Calculations!E35,Calculations!E55)</f>
        <v>29</v>
      </c>
      <c r="F46" s="40" t="n">
        <f aca="false">CHOOSE(MATCH(Inputs!$C$4,{"Pessimistic","Realistic","Optimistic"},0),Calculations!F15,Calculations!F35,Calculations!F55)</f>
        <v>9982080</v>
      </c>
      <c r="G46" s="43" t="n">
        <f aca="false">CHOOSE(MATCH(Inputs!$C$4,{"Pessimistic","Realistic","Optimistic"},0),Calculations!G15,Calculations!G35,Calculations!G55)</f>
        <v>0.2</v>
      </c>
      <c r="H46" s="40" t="n">
        <f aca="false">CHOOSE(MATCH(Inputs!$C$4,{"Pessimistic","Realistic","Optimistic"},0),Calculations!H15,Calculations!H35,Calculations!H55)</f>
        <v>1080000</v>
      </c>
      <c r="I46" s="40" t="n">
        <f aca="false">CHOOSE(MATCH(Inputs!$C$4,{"Pessimistic","Realistic","Optimistic"},0),Calculations!I15,Calculations!I35,Calculations!I55)</f>
        <v>200000</v>
      </c>
      <c r="J46" s="38" t="n">
        <f aca="false">CHOOSE(MATCH(Inputs!$C$4,{"Pessimistic","Realistic","Optimistic"},0),Calculations!L15,Calculations!L35,Calculations!L55)</f>
        <v>0</v>
      </c>
    </row>
    <row r="47" customFormat="false" ht="15" hidden="false" customHeight="false" outlineLevel="0" collapsed="false">
      <c r="B47" s="42" t="str">
        <f aca="false">CHOOSE(MATCH(Inputs!$C$4,{"Pessimistic","Realistic","Optimistic"},0),Calculations!B16,Calculations!B36,Calculations!B56)</f>
        <v>VIII</v>
      </c>
      <c r="C47" s="38" t="n">
        <f aca="false">CHOOSE(MATCH(Inputs!$C$4,{"Pessimistic","Realistic","Optimistic"},0),Calculations!C16,Calculations!C36,Calculations!C56)</f>
        <v>25</v>
      </c>
      <c r="D47" s="38" t="n">
        <f aca="false">CHOOSE(MATCH(Inputs!$C$4,{"Pessimistic","Realistic","Optimistic"},0),Calculations!D16,Calculations!D36,Calculations!D56)</f>
        <v>3</v>
      </c>
      <c r="E47" s="38" t="n">
        <f aca="false">CHOOSE(MATCH(Inputs!$C$4,{"Pessimistic","Realistic","Optimistic"},0),Calculations!E16,Calculations!E36,Calculations!E56)</f>
        <v>28</v>
      </c>
      <c r="F47" s="40" t="n">
        <f aca="false">CHOOSE(MATCH(Inputs!$C$4,{"Pessimistic","Realistic","Optimistic"},0),Calculations!F16,Calculations!F36,Calculations!F56)</f>
        <v>10171840</v>
      </c>
      <c r="G47" s="43" t="n">
        <f aca="false">CHOOSE(MATCH(Inputs!$C$4,{"Pessimistic","Realistic","Optimistic"},0),Calculations!G16,Calculations!G36,Calculations!G56)</f>
        <v>0.3</v>
      </c>
      <c r="H47" s="40" t="n">
        <f aca="false">CHOOSE(MATCH(Inputs!$C$4,{"Pessimistic","Realistic","Optimistic"},0),Calculations!H16,Calculations!H36,Calculations!H56)</f>
        <v>1500000</v>
      </c>
      <c r="I47" s="40" t="n">
        <f aca="false">CHOOSE(MATCH(Inputs!$C$4,{"Pessimistic","Realistic","Optimistic"},0),Calculations!I16,Calculations!I36,Calculations!I56)</f>
        <v>300000</v>
      </c>
      <c r="J47" s="38" t="n">
        <f aca="false">CHOOSE(MATCH(Inputs!$C$4,{"Pessimistic","Realistic","Optimistic"},0),Calculations!L16,Calculations!L36,Calculations!L56)</f>
        <v>0</v>
      </c>
    </row>
    <row r="48" customFormat="false" ht="15" hidden="false" customHeight="false" outlineLevel="0" collapsed="false">
      <c r="B48" s="42" t="str">
        <f aca="false">CHOOSE(MATCH(Inputs!$C$4,{"Pessimistic","Realistic","Optimistic"},0),Calculations!B17,Calculations!B37,Calculations!B57)</f>
        <v>IX</v>
      </c>
      <c r="C48" s="38" t="n">
        <f aca="false">CHOOSE(MATCH(Inputs!$C$4,{"Pessimistic","Realistic","Optimistic"},0),Calculations!C17,Calculations!C37,Calculations!C57)</f>
        <v>26</v>
      </c>
      <c r="D48" s="38" t="n">
        <f aca="false">CHOOSE(MATCH(Inputs!$C$4,{"Pessimistic","Realistic","Optimistic"},0),Calculations!D17,Calculations!D37,Calculations!D57)</f>
        <v>3</v>
      </c>
      <c r="E48" s="38" t="n">
        <f aca="false">CHOOSE(MATCH(Inputs!$C$4,{"Pessimistic","Realistic","Optimistic"},0),Calculations!E17,Calculations!E37,Calculations!E57)</f>
        <v>29</v>
      </c>
      <c r="F48" s="40" t="n">
        <f aca="false">CHOOSE(MATCH(Inputs!$C$4,{"Pessimistic","Realistic","Optimistic"},0),Calculations!F17,Calculations!F37,Calculations!F57)</f>
        <v>11078870</v>
      </c>
      <c r="G48" s="43" t="n">
        <f aca="false">CHOOSE(MATCH(Inputs!$C$4,{"Pessimistic","Realistic","Optimistic"},0),Calculations!G17,Calculations!G37,Calculations!G57)</f>
        <v>0.3</v>
      </c>
      <c r="H48" s="40" t="n">
        <f aca="false">CHOOSE(MATCH(Inputs!$C$4,{"Pessimistic","Realistic","Optimistic"},0),Calculations!H17,Calculations!H37,Calculations!H57)</f>
        <v>1560000</v>
      </c>
      <c r="I48" s="40" t="n">
        <f aca="false">CHOOSE(MATCH(Inputs!$C$4,{"Pessimistic","Realistic","Optimistic"},0),Calculations!I17,Calculations!I37,Calculations!I57)</f>
        <v>300000</v>
      </c>
      <c r="J48" s="38" t="n">
        <f aca="false">CHOOSE(MATCH(Inputs!$C$4,{"Pessimistic","Realistic","Optimistic"},0),Calculations!L17,Calculations!L37,Calculations!L57)</f>
        <v>0</v>
      </c>
    </row>
    <row r="49" customFormat="false" ht="15" hidden="false" customHeight="false" outlineLevel="0" collapsed="false">
      <c r="B49" s="42" t="str">
        <f aca="false">CHOOSE(MATCH(Inputs!$C$4,{"Pessimistic","Realistic","Optimistic"},0),Calculations!B18,Calculations!B38,Calculations!B58)</f>
        <v>X</v>
      </c>
      <c r="C49" s="38" t="n">
        <f aca="false">CHOOSE(MATCH(Inputs!$C$4,{"Pessimistic","Realistic","Optimistic"},0),Calculations!C18,Calculations!C38,Calculations!C58)</f>
        <v>30</v>
      </c>
      <c r="D49" s="38" t="n">
        <f aca="false">CHOOSE(MATCH(Inputs!$C$4,{"Pessimistic","Realistic","Optimistic"},0),Calculations!D18,Calculations!D38,Calculations!D58)</f>
        <v>0</v>
      </c>
      <c r="E49" s="38" t="n">
        <f aca="false">CHOOSE(MATCH(Inputs!$C$4,{"Pessimistic","Realistic","Optimistic"},0),Calculations!E18,Calculations!E38,Calculations!E58)</f>
        <v>30</v>
      </c>
      <c r="F49" s="40" t="n">
        <f aca="false">CHOOSE(MATCH(Inputs!$C$4,{"Pessimistic","Realistic","Optimistic"},0),Calculations!F18,Calculations!F38,Calculations!F58)</f>
        <v>11952000</v>
      </c>
      <c r="G49" s="43" t="n">
        <f aca="false">CHOOSE(MATCH(Inputs!$C$4,{"Pessimistic","Realistic","Optimistic"},0),Calculations!G18,Calculations!G38,Calculations!G58)</f>
        <v>0.2</v>
      </c>
      <c r="H49" s="40" t="n">
        <f aca="false">CHOOSE(MATCH(Inputs!$C$4,{"Pessimistic","Realistic","Optimistic"},0),Calculations!H18,Calculations!H38,Calculations!H58)</f>
        <v>1200000</v>
      </c>
      <c r="I49" s="40" t="n">
        <f aca="false">CHOOSE(MATCH(Inputs!$C$4,{"Pessimistic","Realistic","Optimistic"},0),Calculations!I18,Calculations!I38,Calculations!I58)</f>
        <v>0</v>
      </c>
      <c r="J49" s="38" t="n">
        <f aca="false">CHOOSE(MATCH(Inputs!$C$4,{"Pessimistic","Realistic","Optimistic"},0),Calculations!L18,Calculations!L38,Calculations!L58)</f>
        <v>0</v>
      </c>
    </row>
    <row r="50" customFormat="false" ht="15" hidden="false" customHeight="false" outlineLevel="0" collapsed="false">
      <c r="B50" s="42" t="str">
        <f aca="false">CHOOSE(MATCH(Inputs!$C$4,{"Pessimistic","Realistic","Optimistic"},0),Calculations!B19,Calculations!B39,Calculations!B59)</f>
        <v>AS</v>
      </c>
      <c r="C50" s="38" t="n">
        <f aca="false">CHOOSE(MATCH(Inputs!$C$4,{"Pessimistic","Realistic","Optimistic"},0),Calculations!C19,Calculations!C39,Calculations!C59)</f>
        <v>26</v>
      </c>
      <c r="D50" s="38" t="n">
        <f aca="false">CHOOSE(MATCH(Inputs!$C$4,{"Pessimistic","Realistic","Optimistic"},0),Calculations!D19,Calculations!D39,Calculations!D59)</f>
        <v>17</v>
      </c>
      <c r="E50" s="38" t="n">
        <f aca="false">CHOOSE(MATCH(Inputs!$C$4,{"Pessimistic","Realistic","Optimistic"},0),Calculations!E19,Calculations!E39,Calculations!E59)</f>
        <v>43</v>
      </c>
      <c r="F50" s="40" t="n">
        <f aca="false">CHOOSE(MATCH(Inputs!$C$4,{"Pessimistic","Realistic","Optimistic"},0),Calculations!F19,Calculations!F39,Calculations!F59)</f>
        <v>15170400</v>
      </c>
      <c r="G50" s="43" t="n">
        <f aca="false">CHOOSE(MATCH(Inputs!$C$4,{"Pessimistic","Realistic","Optimistic"},0),Calculations!G19,Calculations!G39,Calculations!G59)</f>
        <v>0.1</v>
      </c>
      <c r="H50" s="40" t="n">
        <f aca="false">CHOOSE(MATCH(Inputs!$C$4,{"Pessimistic","Realistic","Optimistic"},0),Calculations!H19,Calculations!H39,Calculations!H59)</f>
        <v>520000</v>
      </c>
      <c r="I50" s="40" t="n">
        <f aca="false">CHOOSE(MATCH(Inputs!$C$4,{"Pessimistic","Realistic","Optimistic"},0),Calculations!I19,Calculations!I39,Calculations!I59)</f>
        <v>1700000</v>
      </c>
      <c r="J50" s="38" t="n">
        <f aca="false">CHOOSE(MATCH(Inputs!$C$4,{"Pessimistic","Realistic","Optimistic"},0),Calculations!L19,Calculations!L39,Calculations!L59)</f>
        <v>0</v>
      </c>
    </row>
    <row r="51" customFormat="false" ht="15" hidden="false" customHeight="false" outlineLevel="0" collapsed="false">
      <c r="B51" s="42" t="str">
        <f aca="false">CHOOSE(MATCH(Inputs!$C$4,{"Pessimistic","Realistic","Optimistic"},0),Calculations!B20,Calculations!B40,Calculations!B60)</f>
        <v>A2</v>
      </c>
      <c r="C51" s="38" t="n">
        <f aca="false">CHOOSE(MATCH(Inputs!$C$4,{"Pessimistic","Realistic","Optimistic"},0),Calculations!C20,Calculations!C40,Calculations!C60)</f>
        <v>29</v>
      </c>
      <c r="D51" s="38" t="n">
        <f aca="false">CHOOSE(MATCH(Inputs!$C$4,{"Pessimistic","Realistic","Optimistic"},0),Calculations!D20,Calculations!D40,Calculations!D60)</f>
        <v>1</v>
      </c>
      <c r="E51" s="38" t="n">
        <f aca="false">CHOOSE(MATCH(Inputs!$C$4,{"Pessimistic","Realistic","Optimistic"},0),Calculations!E20,Calculations!E40,Calculations!E60)</f>
        <v>30</v>
      </c>
      <c r="F51" s="40" t="n">
        <f aca="false">CHOOSE(MATCH(Inputs!$C$4,{"Pessimistic","Realistic","Optimistic"},0),Calculations!F20,Calculations!F40,Calculations!F60)</f>
        <v>11016000</v>
      </c>
      <c r="G51" s="43" t="n">
        <f aca="false">CHOOSE(MATCH(Inputs!$C$4,{"Pessimistic","Realistic","Optimistic"},0),Calculations!G20,Calculations!G40,Calculations!G60)</f>
        <v>0</v>
      </c>
      <c r="H51" s="40" t="n">
        <f aca="false">CHOOSE(MATCH(Inputs!$C$4,{"Pessimistic","Realistic","Optimistic"},0),Calculations!H20,Calculations!H40,Calculations!H60)</f>
        <v>0</v>
      </c>
      <c r="I51" s="40" t="n">
        <f aca="false">CHOOSE(MATCH(Inputs!$C$4,{"Pessimistic","Realistic","Optimistic"},0),Calculations!I20,Calculations!I40,Calculations!I60)</f>
        <v>100000</v>
      </c>
      <c r="J51" s="38" t="n">
        <f aca="false">CHOOSE(MATCH(Inputs!$C$4,{"Pessimistic","Realistic","Optimistic"},0),Calculations!L20,Calculations!L40,Calculations!L60)</f>
        <v>0</v>
      </c>
    </row>
    <row r="52" customFormat="false" ht="15" hidden="false" customHeight="false" outlineLevel="0" collapsed="false">
      <c r="B52" s="23" t="s">
        <v>62</v>
      </c>
      <c r="C52" s="44" t="n">
        <f aca="false">SUM(C37:C51)</f>
        <v>366</v>
      </c>
      <c r="D52" s="44" t="n">
        <f aca="false">SUM(D37:D51)</f>
        <v>68</v>
      </c>
      <c r="E52" s="44" t="n">
        <f aca="false">SUM(E37:E51)</f>
        <v>434</v>
      </c>
      <c r="F52" s="45" t="n">
        <f aca="false">SUM(F37:F51)</f>
        <v>133098190</v>
      </c>
      <c r="G52" s="46"/>
      <c r="H52" s="45" t="n">
        <f aca="false">SUM(H37:H51)</f>
        <v>7100000</v>
      </c>
      <c r="I52" s="45" t="n">
        <f aca="false">SUM(I37:I51)</f>
        <v>6800000</v>
      </c>
      <c r="J52" s="44" t="n">
        <f aca="false">SUM(J37:J51)</f>
        <v>0</v>
      </c>
    </row>
  </sheetData>
  <mergeCells count="16">
    <mergeCell ref="C4:D4"/>
    <mergeCell ref="E4:K4"/>
    <mergeCell ref="B6:D6"/>
    <mergeCell ref="E6:G6"/>
    <mergeCell ref="H6:J6"/>
    <mergeCell ref="K6:M6"/>
    <mergeCell ref="N6:P6"/>
    <mergeCell ref="Q6:S6"/>
    <mergeCell ref="B7:D8"/>
    <mergeCell ref="E7:G8"/>
    <mergeCell ref="H7:J8"/>
    <mergeCell ref="K7:M8"/>
    <mergeCell ref="N7:P8"/>
    <mergeCell ref="Q7:S8"/>
    <mergeCell ref="B11:E11"/>
    <mergeCell ref="B35:J3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L1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5" min="2" style="0" width="16"/>
    <col collapsed="false" customWidth="true" hidden="false" outlineLevel="0" max="12" min="6" style="0" width="14"/>
  </cols>
  <sheetData>
    <row r="1" customFormat="false" ht="17.35" hidden="false" customHeight="false" outlineLevel="0" collapsed="false">
      <c r="B1" s="1" t="s">
        <v>134</v>
      </c>
    </row>
    <row r="2" customFormat="false" ht="15" hidden="false" customHeight="false" outlineLevel="0" collapsed="false">
      <c r="B2" s="2" t="s">
        <v>135</v>
      </c>
    </row>
    <row r="4" customFormat="false" ht="15" hidden="false" customHeight="false" outlineLevel="0" collapsed="false">
      <c r="B4" s="11" t="s">
        <v>136</v>
      </c>
      <c r="C4" s="11"/>
      <c r="D4" s="11"/>
      <c r="E4" s="11"/>
      <c r="F4" s="11"/>
      <c r="G4" s="11"/>
      <c r="H4" s="11"/>
      <c r="I4" s="11"/>
      <c r="J4" s="11"/>
      <c r="K4" s="11"/>
      <c r="L4" s="11"/>
    </row>
    <row r="5" customFormat="false" ht="27.75" hidden="false" customHeight="true" outlineLevel="0" collapsed="false">
      <c r="B5" s="12" t="s">
        <v>32</v>
      </c>
      <c r="C5" s="12" t="s">
        <v>33</v>
      </c>
      <c r="D5" s="12" t="s">
        <v>127</v>
      </c>
      <c r="E5" s="12" t="s">
        <v>128</v>
      </c>
      <c r="F5" s="12" t="s">
        <v>129</v>
      </c>
      <c r="G5" s="12" t="s">
        <v>130</v>
      </c>
      <c r="H5" s="12" t="s">
        <v>131</v>
      </c>
      <c r="I5" s="12" t="s">
        <v>132</v>
      </c>
      <c r="J5" s="12" t="s">
        <v>137</v>
      </c>
      <c r="K5" s="12" t="s">
        <v>138</v>
      </c>
      <c r="L5" s="12" t="s">
        <v>133</v>
      </c>
    </row>
    <row r="6" customFormat="false" ht="15" hidden="false" customHeight="false" outlineLevel="0" collapsed="false">
      <c r="B6" s="42" t="str">
        <f aca="false">Inputs!B8</f>
        <v>Pre-KG</v>
      </c>
      <c r="C6" s="47" t="n">
        <f aca="false">Inputs!C8</f>
        <v>0</v>
      </c>
      <c r="D6" s="47" t="n">
        <f aca="false">MIN(Inputs!F8,MAX(0,ROUND(Inputs!F8*Inputs!H8*Inputs!$E$42,0)))</f>
        <v>0</v>
      </c>
      <c r="E6" s="47" t="n">
        <f aca="false">C6-L6+D6</f>
        <v>0</v>
      </c>
      <c r="F6" s="48" t="n">
        <f aca="false">(C6-J6+D6)*Inputs!D8*(1+Inputs!E8)+K6*Inputs!D8*(1+Inputs!$F$53)</f>
        <v>0</v>
      </c>
      <c r="G6" s="49" t="n">
        <f aca="false">MIN(1,MAX(0,Inputs!I8+Inputs!J8*Inputs!$F$42))</f>
        <v>0</v>
      </c>
      <c r="H6" s="48" t="n">
        <f aca="false">(C6-L6)*G6*Inputs!L8</f>
        <v>0</v>
      </c>
      <c r="I6" s="48" t="n">
        <f aca="false">D6*Inputs!M8</f>
        <v>0</v>
      </c>
      <c r="J6" s="47" t="n">
        <f aca="false">MAX(0,ROUND(Inputs!N8*(1+Inputs!O8*Inputs!$G$42),0))</f>
        <v>0</v>
      </c>
      <c r="K6" s="47" t="n">
        <f aca="false">MIN(J6,IFERROR(ROUND(Inputs!$C$56*Inputs!N8/Inputs!$N$23,0),0))</f>
        <v>0</v>
      </c>
      <c r="L6" s="47" t="n">
        <f aca="false">J6-K6</f>
        <v>0</v>
      </c>
    </row>
    <row r="7" customFormat="false" ht="15" hidden="false" customHeight="false" outlineLevel="0" collapsed="false">
      <c r="B7" s="42" t="str">
        <f aca="false">Inputs!B9</f>
        <v>LKG</v>
      </c>
      <c r="C7" s="47" t="n">
        <f aca="false">Inputs!C9</f>
        <v>4</v>
      </c>
      <c r="D7" s="47" t="n">
        <f aca="false">MIN(Inputs!F9,MAX(0,ROUND(Inputs!F9*Inputs!H9*Inputs!$E$42,0)))</f>
        <v>13</v>
      </c>
      <c r="E7" s="47" t="n">
        <f aca="false">C7-L7+D7</f>
        <v>17</v>
      </c>
      <c r="F7" s="48" t="n">
        <f aca="false">(C7-J7+D7)*Inputs!D9*(1+Inputs!E9)+K7*Inputs!D9*(1+Inputs!$F$53)</f>
        <v>3570000</v>
      </c>
      <c r="G7" s="49" t="n">
        <f aca="false">MIN(1,MAX(0,Inputs!I9+Inputs!J9*Inputs!$F$42))</f>
        <v>0</v>
      </c>
      <c r="H7" s="48" t="n">
        <f aca="false">(C7-L7)*G7*Inputs!L9</f>
        <v>0</v>
      </c>
      <c r="I7" s="48" t="n">
        <f aca="false">D7*Inputs!M9</f>
        <v>1300000</v>
      </c>
      <c r="J7" s="47" t="n">
        <f aca="false">MAX(0,ROUND(Inputs!N9*(1+Inputs!O9*Inputs!$G$42),0))</f>
        <v>0</v>
      </c>
      <c r="K7" s="47" t="n">
        <f aca="false">MIN(J7,IFERROR(ROUND(Inputs!$C$56*Inputs!N9/Inputs!$N$23,0),0))</f>
        <v>0</v>
      </c>
      <c r="L7" s="47" t="n">
        <f aca="false">J7-K7</f>
        <v>0</v>
      </c>
    </row>
    <row r="8" customFormat="false" ht="15" hidden="false" customHeight="false" outlineLevel="0" collapsed="false">
      <c r="B8" s="42" t="str">
        <f aca="false">Inputs!B10</f>
        <v>UKG</v>
      </c>
      <c r="C8" s="47" t="n">
        <f aca="false">Inputs!C10</f>
        <v>15</v>
      </c>
      <c r="D8" s="47" t="n">
        <f aca="false">MIN(Inputs!F10,MAX(0,ROUND(Inputs!F10*Inputs!H10*Inputs!$E$42,0)))</f>
        <v>8</v>
      </c>
      <c r="E8" s="47" t="n">
        <f aca="false">C8-L8+D8</f>
        <v>23</v>
      </c>
      <c r="F8" s="48" t="n">
        <f aca="false">(C8-J8+D8)*Inputs!D10*(1+Inputs!E10)+K8*Inputs!D10*(1+Inputs!$F$53)</f>
        <v>4623000</v>
      </c>
      <c r="G8" s="49" t="n">
        <f aca="false">MIN(1,MAX(0,Inputs!I10+Inputs!J10*Inputs!$F$42))</f>
        <v>0</v>
      </c>
      <c r="H8" s="48" t="n">
        <f aca="false">(C8-L8)*G8*Inputs!L10</f>
        <v>0</v>
      </c>
      <c r="I8" s="48" t="n">
        <f aca="false">D8*Inputs!M10</f>
        <v>800000</v>
      </c>
      <c r="J8" s="47" t="n">
        <f aca="false">MAX(0,ROUND(Inputs!N10*(1+Inputs!O10*Inputs!$G$42),0))</f>
        <v>0</v>
      </c>
      <c r="K8" s="47" t="n">
        <f aca="false">MIN(J8,IFERROR(ROUND(Inputs!$C$56*Inputs!N10/Inputs!$N$23,0),0))</f>
        <v>0</v>
      </c>
      <c r="L8" s="47" t="n">
        <f aca="false">J8-K8</f>
        <v>0</v>
      </c>
    </row>
    <row r="9" customFormat="false" ht="15" hidden="false" customHeight="false" outlineLevel="0" collapsed="false">
      <c r="B9" s="42" t="str">
        <f aca="false">Inputs!B11</f>
        <v>I</v>
      </c>
      <c r="C9" s="47" t="n">
        <f aca="false">Inputs!C11</f>
        <v>23</v>
      </c>
      <c r="D9" s="47" t="n">
        <f aca="false">MIN(Inputs!F11,MAX(0,ROUND(Inputs!F11*Inputs!H11*Inputs!$E$42,0)))</f>
        <v>8</v>
      </c>
      <c r="E9" s="47" t="n">
        <f aca="false">C9-L9+D9</f>
        <v>31</v>
      </c>
      <c r="F9" s="48" t="n">
        <f aca="false">(C9-J9+D9)*Inputs!D11*(1+Inputs!E11)+K9*Inputs!D11*(1+Inputs!$F$53)</f>
        <v>6727000</v>
      </c>
      <c r="G9" s="49" t="n">
        <f aca="false">MIN(1,MAX(0,Inputs!I11+Inputs!J11*Inputs!$F$42))</f>
        <v>0</v>
      </c>
      <c r="H9" s="48" t="n">
        <f aca="false">(C9-L9)*G9*Inputs!L11</f>
        <v>0</v>
      </c>
      <c r="I9" s="48" t="n">
        <f aca="false">D9*Inputs!M11</f>
        <v>800000</v>
      </c>
      <c r="J9" s="47" t="n">
        <f aca="false">MAX(0,ROUND(Inputs!N11*(1+Inputs!O11*Inputs!$G$42),0))</f>
        <v>0</v>
      </c>
      <c r="K9" s="47" t="n">
        <f aca="false">MIN(J9,IFERROR(ROUND(Inputs!$C$56*Inputs!N11/Inputs!$N$23,0),0))</f>
        <v>0</v>
      </c>
      <c r="L9" s="47" t="n">
        <f aca="false">J9-K9</f>
        <v>0</v>
      </c>
    </row>
    <row r="10" customFormat="false" ht="15" hidden="false" customHeight="false" outlineLevel="0" collapsed="false">
      <c r="B10" s="42" t="str">
        <f aca="false">Inputs!B12</f>
        <v>II</v>
      </c>
      <c r="C10" s="47" t="n">
        <f aca="false">Inputs!C12</f>
        <v>33</v>
      </c>
      <c r="D10" s="47" t="n">
        <f aca="false">MIN(Inputs!F12,MAX(0,ROUND(Inputs!F12*Inputs!H12*Inputs!$E$42,0)))</f>
        <v>0</v>
      </c>
      <c r="E10" s="47" t="n">
        <f aca="false">C10-L10+D10</f>
        <v>28</v>
      </c>
      <c r="F10" s="48" t="n">
        <f aca="false">(C10-J10+D10)*Inputs!D12*(1+Inputs!E12)+K10*Inputs!D12*(1+Inputs!$F$53)</f>
        <v>7245630</v>
      </c>
      <c r="G10" s="49" t="n">
        <f aca="false">MIN(1,MAX(0,Inputs!I12+Inputs!J12*Inputs!$F$42))</f>
        <v>0</v>
      </c>
      <c r="H10" s="48" t="n">
        <f aca="false">(C10-L10)*G10*Inputs!L12</f>
        <v>0</v>
      </c>
      <c r="I10" s="48" t="n">
        <f aca="false">D10*Inputs!M12</f>
        <v>0</v>
      </c>
      <c r="J10" s="47" t="n">
        <f aca="false">MAX(0,ROUND(Inputs!N12*(1+Inputs!O12*Inputs!$G$42),0))</f>
        <v>8</v>
      </c>
      <c r="K10" s="47" t="n">
        <f aca="false">MIN(J10,IFERROR(ROUND(Inputs!$C$56*Inputs!N12/Inputs!$N$23,0),0))</f>
        <v>3</v>
      </c>
      <c r="L10" s="47" t="n">
        <f aca="false">J10-K10</f>
        <v>5</v>
      </c>
    </row>
    <row r="11" customFormat="false" ht="15" hidden="false" customHeight="false" outlineLevel="0" collapsed="false">
      <c r="B11" s="42" t="str">
        <f aca="false">Inputs!B13</f>
        <v>III</v>
      </c>
      <c r="C11" s="47" t="n">
        <f aca="false">Inputs!C13</f>
        <v>34</v>
      </c>
      <c r="D11" s="47" t="n">
        <f aca="false">MIN(Inputs!F13,MAX(0,ROUND(Inputs!F13*Inputs!H13*Inputs!$E$42,0)))</f>
        <v>0</v>
      </c>
      <c r="E11" s="47" t="n">
        <f aca="false">C11-L11+D11</f>
        <v>29</v>
      </c>
      <c r="F11" s="48" t="n">
        <f aca="false">(C11-J11+D11)*Inputs!D13*(1+Inputs!E13)+K11*Inputs!D13*(1+Inputs!$F$53)</f>
        <v>7851930</v>
      </c>
      <c r="G11" s="49" t="n">
        <f aca="false">MIN(1,MAX(0,Inputs!I13+Inputs!J13*Inputs!$F$42))</f>
        <v>0</v>
      </c>
      <c r="H11" s="48" t="n">
        <f aca="false">(C11-L11)*G11*Inputs!L13</f>
        <v>0</v>
      </c>
      <c r="I11" s="48" t="n">
        <f aca="false">D11*Inputs!M13</f>
        <v>0</v>
      </c>
      <c r="J11" s="47" t="n">
        <f aca="false">MAX(0,ROUND(Inputs!N13*(1+Inputs!O13*Inputs!$G$42),0))</f>
        <v>8</v>
      </c>
      <c r="K11" s="47" t="n">
        <f aca="false">MIN(J11,IFERROR(ROUND(Inputs!$C$56*Inputs!N13/Inputs!$N$23,0),0))</f>
        <v>3</v>
      </c>
      <c r="L11" s="47" t="n">
        <f aca="false">J11-K11</f>
        <v>5</v>
      </c>
    </row>
    <row r="12" customFormat="false" ht="15" hidden="false" customHeight="false" outlineLevel="0" collapsed="false">
      <c r="B12" s="42" t="str">
        <f aca="false">Inputs!B14</f>
        <v>IV</v>
      </c>
      <c r="C12" s="47" t="n">
        <f aca="false">Inputs!C14</f>
        <v>32</v>
      </c>
      <c r="D12" s="47" t="n">
        <f aca="false">MIN(Inputs!F14,MAX(0,ROUND(Inputs!F14*Inputs!H14*Inputs!$E$42,0)))</f>
        <v>0</v>
      </c>
      <c r="E12" s="47" t="n">
        <f aca="false">C12-L12+D12</f>
        <v>27</v>
      </c>
      <c r="F12" s="48" t="n">
        <f aca="false">(C12-J12+D12)*Inputs!D14*(1+Inputs!E14)+K12*Inputs!D14*(1+Inputs!$F$53)</f>
        <v>7468080</v>
      </c>
      <c r="G12" s="49" t="n">
        <f aca="false">MIN(1,MAX(0,Inputs!I14+Inputs!J14*Inputs!$F$42))</f>
        <v>0</v>
      </c>
      <c r="H12" s="48" t="n">
        <f aca="false">(C12-L12)*G12*Inputs!L14</f>
        <v>0</v>
      </c>
      <c r="I12" s="48" t="n">
        <f aca="false">D12*Inputs!M14</f>
        <v>0</v>
      </c>
      <c r="J12" s="47" t="n">
        <f aca="false">MAX(0,ROUND(Inputs!N14*(1+Inputs!O14*Inputs!$G$42),0))</f>
        <v>8</v>
      </c>
      <c r="K12" s="47" t="n">
        <f aca="false">MIN(J12,IFERROR(ROUND(Inputs!$C$56*Inputs!N14/Inputs!$N$23,0),0))</f>
        <v>3</v>
      </c>
      <c r="L12" s="47" t="n">
        <f aca="false">J12-K12</f>
        <v>5</v>
      </c>
    </row>
    <row r="13" customFormat="false" ht="15" hidden="false" customHeight="false" outlineLevel="0" collapsed="false">
      <c r="B13" s="42" t="str">
        <f aca="false">Inputs!B15</f>
        <v>V</v>
      </c>
      <c r="C13" s="47" t="n">
        <f aca="false">Inputs!C15</f>
        <v>31</v>
      </c>
      <c r="D13" s="47" t="n">
        <f aca="false">MIN(Inputs!F15,MAX(0,ROUND(Inputs!F15*Inputs!H15*Inputs!$E$42,0)))</f>
        <v>1</v>
      </c>
      <c r="E13" s="47" t="n">
        <f aca="false">C13-L13+D13</f>
        <v>27</v>
      </c>
      <c r="F13" s="48" t="n">
        <f aca="false">(C13-J13+D13)*Inputs!D15*(1+Inputs!E15)+K13*Inputs!D15*(1+Inputs!$F$53)</f>
        <v>8176260</v>
      </c>
      <c r="G13" s="49" t="n">
        <f aca="false">MIN(1,MAX(0,Inputs!I15+Inputs!J15*Inputs!$F$42))</f>
        <v>0</v>
      </c>
      <c r="H13" s="48" t="n">
        <f aca="false">(C13-L13)*G13*Inputs!L15</f>
        <v>0</v>
      </c>
      <c r="I13" s="48" t="n">
        <f aca="false">D13*Inputs!M15</f>
        <v>100000</v>
      </c>
      <c r="J13" s="47" t="n">
        <f aca="false">MAX(0,ROUND(Inputs!N15*(1+Inputs!O15*Inputs!$G$42),0))</f>
        <v>8</v>
      </c>
      <c r="K13" s="47" t="n">
        <f aca="false">MIN(J13,IFERROR(ROUND(Inputs!$C$56*Inputs!N15/Inputs!$N$23,0),0))</f>
        <v>3</v>
      </c>
      <c r="L13" s="47" t="n">
        <f aca="false">J13-K13</f>
        <v>5</v>
      </c>
    </row>
    <row r="14" customFormat="false" ht="15" hidden="false" customHeight="false" outlineLevel="0" collapsed="false">
      <c r="B14" s="42" t="str">
        <f aca="false">Inputs!B16</f>
        <v>VI</v>
      </c>
      <c r="C14" s="47" t="n">
        <f aca="false">Inputs!C16</f>
        <v>31</v>
      </c>
      <c r="D14" s="47" t="n">
        <f aca="false">MIN(Inputs!F16,MAX(0,ROUND(Inputs!F16*Inputs!H16*Inputs!$E$42,0)))</f>
        <v>1</v>
      </c>
      <c r="E14" s="47" t="n">
        <f aca="false">C14-L14+D14</f>
        <v>29</v>
      </c>
      <c r="F14" s="48" t="n">
        <f aca="false">(C14-J14+D14)*Inputs!D16*(1+Inputs!E16)+K14*Inputs!D16*(1+Inputs!$F$53)</f>
        <v>9358200</v>
      </c>
      <c r="G14" s="49" t="n">
        <f aca="false">MIN(1,MAX(0,Inputs!I16+Inputs!J16*Inputs!$F$42))</f>
        <v>0.1</v>
      </c>
      <c r="H14" s="48" t="n">
        <f aca="false">(C14-L14)*G14*Inputs!L16</f>
        <v>560000</v>
      </c>
      <c r="I14" s="48" t="n">
        <f aca="false">D14*Inputs!M16</f>
        <v>100000</v>
      </c>
      <c r="J14" s="47" t="n">
        <f aca="false">MAX(0,ROUND(Inputs!N16*(1+Inputs!O16*Inputs!$G$42),0))</f>
        <v>5</v>
      </c>
      <c r="K14" s="47" t="n">
        <f aca="false">MIN(J14,IFERROR(ROUND(Inputs!$C$56*Inputs!N16/Inputs!$N$23,0),0))</f>
        <v>2</v>
      </c>
      <c r="L14" s="47" t="n">
        <f aca="false">J14-K14</f>
        <v>3</v>
      </c>
    </row>
    <row r="15" customFormat="false" ht="15" hidden="false" customHeight="false" outlineLevel="0" collapsed="false">
      <c r="B15" s="42" t="str">
        <f aca="false">Inputs!B17</f>
        <v>VII</v>
      </c>
      <c r="C15" s="47" t="n">
        <f aca="false">Inputs!C17</f>
        <v>27</v>
      </c>
      <c r="D15" s="47" t="n">
        <f aca="false">MIN(Inputs!F17,MAX(0,ROUND(Inputs!F17*Inputs!H17*Inputs!$E$42,0)))</f>
        <v>2</v>
      </c>
      <c r="E15" s="47" t="n">
        <f aca="false">C15-L15+D15</f>
        <v>27</v>
      </c>
      <c r="F15" s="48" t="n">
        <f aca="false">(C15-J15+D15)*Inputs!D17*(1+Inputs!E17)+K15*Inputs!D17*(1+Inputs!$F$53)</f>
        <v>9311040</v>
      </c>
      <c r="G15" s="49" t="n">
        <f aca="false">MIN(1,MAX(0,Inputs!I17+Inputs!J17*Inputs!$F$42))</f>
        <v>0.1</v>
      </c>
      <c r="H15" s="48" t="n">
        <f aca="false">(C15-L15)*G15*Inputs!L17</f>
        <v>500000</v>
      </c>
      <c r="I15" s="48" t="n">
        <f aca="false">D15*Inputs!M17</f>
        <v>200000</v>
      </c>
      <c r="J15" s="47" t="n">
        <f aca="false">MAX(0,ROUND(Inputs!N17*(1+Inputs!O17*Inputs!$G$42),0))</f>
        <v>3</v>
      </c>
      <c r="K15" s="47" t="n">
        <f aca="false">MIN(J15,IFERROR(ROUND(Inputs!$C$56*Inputs!N17/Inputs!$N$23,0),0))</f>
        <v>1</v>
      </c>
      <c r="L15" s="47" t="n">
        <f aca="false">J15-K15</f>
        <v>2</v>
      </c>
    </row>
    <row r="16" customFormat="false" ht="15" hidden="false" customHeight="false" outlineLevel="0" collapsed="false">
      <c r="B16" s="42" t="str">
        <f aca="false">Inputs!B18</f>
        <v>VIII</v>
      </c>
      <c r="C16" s="47" t="n">
        <f aca="false">Inputs!C18</f>
        <v>25</v>
      </c>
      <c r="D16" s="47" t="n">
        <f aca="false">MIN(Inputs!F18,MAX(0,ROUND(Inputs!F18*Inputs!H18*Inputs!$E$42,0)))</f>
        <v>2</v>
      </c>
      <c r="E16" s="47" t="n">
        <f aca="false">C16-L16+D16</f>
        <v>25</v>
      </c>
      <c r="F16" s="48" t="n">
        <f aca="false">(C16-J16+D16)*Inputs!D18*(1+Inputs!E18)+K16*Inputs!D18*(1+Inputs!$F$53)</f>
        <v>9098720</v>
      </c>
      <c r="G16" s="49" t="n">
        <f aca="false">MIN(1,MAX(0,Inputs!I18+Inputs!J18*Inputs!$F$42))</f>
        <v>0.2</v>
      </c>
      <c r="H16" s="48" t="n">
        <f aca="false">(C16-L16)*G16*Inputs!L18</f>
        <v>920000</v>
      </c>
      <c r="I16" s="48" t="n">
        <f aca="false">D16*Inputs!M18</f>
        <v>200000</v>
      </c>
      <c r="J16" s="47" t="n">
        <f aca="false">MAX(0,ROUND(Inputs!N18*(1+Inputs!O18*Inputs!$G$42),0))</f>
        <v>3</v>
      </c>
      <c r="K16" s="47" t="n">
        <f aca="false">MIN(J16,IFERROR(ROUND(Inputs!$C$56*Inputs!N18/Inputs!$N$23,0),0))</f>
        <v>1</v>
      </c>
      <c r="L16" s="47" t="n">
        <f aca="false">J16-K16</f>
        <v>2</v>
      </c>
    </row>
    <row r="17" customFormat="false" ht="15" hidden="false" customHeight="false" outlineLevel="0" collapsed="false">
      <c r="B17" s="42" t="str">
        <f aca="false">Inputs!B19</f>
        <v>IX</v>
      </c>
      <c r="C17" s="47" t="n">
        <f aca="false">Inputs!C19</f>
        <v>26</v>
      </c>
      <c r="D17" s="47" t="n">
        <f aca="false">MIN(Inputs!F19,MAX(0,ROUND(Inputs!F19*Inputs!H19*Inputs!$E$42,0)))</f>
        <v>2</v>
      </c>
      <c r="E17" s="47" t="n">
        <f aca="false">C17-L17+D17</f>
        <v>27</v>
      </c>
      <c r="F17" s="48" t="n">
        <f aca="false">(C17-J17+D17)*Inputs!D19*(1+Inputs!E19)+K17*Inputs!D19*(1+Inputs!$F$53)</f>
        <v>10313270</v>
      </c>
      <c r="G17" s="49" t="n">
        <f aca="false">MIN(1,MAX(0,Inputs!I19+Inputs!J19*Inputs!$F$42))</f>
        <v>0.2</v>
      </c>
      <c r="H17" s="48" t="n">
        <f aca="false">(C17-L17)*G17*Inputs!L19</f>
        <v>1000000</v>
      </c>
      <c r="I17" s="48" t="n">
        <f aca="false">D17*Inputs!M19</f>
        <v>200000</v>
      </c>
      <c r="J17" s="47" t="n">
        <f aca="false">MAX(0,ROUND(Inputs!N19*(1+Inputs!O19*Inputs!$G$42),0))</f>
        <v>2</v>
      </c>
      <c r="K17" s="47" t="n">
        <f aca="false">MIN(J17,IFERROR(ROUND(Inputs!$C$56*Inputs!N19/Inputs!$N$23,0),0))</f>
        <v>1</v>
      </c>
      <c r="L17" s="47" t="n">
        <f aca="false">J17-K17</f>
        <v>1</v>
      </c>
    </row>
    <row r="18" customFormat="false" ht="15" hidden="false" customHeight="false" outlineLevel="0" collapsed="false">
      <c r="B18" s="42" t="str">
        <f aca="false">Inputs!B20</f>
        <v>X</v>
      </c>
      <c r="C18" s="47" t="n">
        <f aca="false">Inputs!C20</f>
        <v>30</v>
      </c>
      <c r="D18" s="47" t="n">
        <f aca="false">MIN(Inputs!F20,MAX(0,ROUND(Inputs!F20*Inputs!H20*Inputs!$E$42,0)))</f>
        <v>0</v>
      </c>
      <c r="E18" s="47" t="n">
        <f aca="false">C18-L18+D18</f>
        <v>30</v>
      </c>
      <c r="F18" s="48" t="n">
        <f aca="false">(C18-J18+D18)*Inputs!D20*(1+Inputs!E20)+K18*Inputs!D20*(1+Inputs!$F$53)</f>
        <v>11952000</v>
      </c>
      <c r="G18" s="49" t="n">
        <f aca="false">MIN(1,MAX(0,Inputs!I20+Inputs!J20*Inputs!$F$42))</f>
        <v>0.1</v>
      </c>
      <c r="H18" s="48" t="n">
        <f aca="false">(C18-L18)*G18*Inputs!L20</f>
        <v>600000</v>
      </c>
      <c r="I18" s="48" t="n">
        <f aca="false">D18*Inputs!M20</f>
        <v>0</v>
      </c>
      <c r="J18" s="47" t="n">
        <f aca="false">MAX(0,ROUND(Inputs!N20*(1+Inputs!O20*Inputs!$G$42),0))</f>
        <v>0</v>
      </c>
      <c r="K18" s="47" t="n">
        <f aca="false">MIN(J18,IFERROR(ROUND(Inputs!$C$56*Inputs!N20/Inputs!$N$23,0),0))</f>
        <v>0</v>
      </c>
      <c r="L18" s="47" t="n">
        <f aca="false">J18-K18</f>
        <v>0</v>
      </c>
    </row>
    <row r="19" customFormat="false" ht="15" hidden="false" customHeight="false" outlineLevel="0" collapsed="false">
      <c r="B19" s="42" t="str">
        <f aca="false">Inputs!B21</f>
        <v>AS</v>
      </c>
      <c r="C19" s="47" t="n">
        <f aca="false">Inputs!C21</f>
        <v>26</v>
      </c>
      <c r="D19" s="47" t="n">
        <f aca="false">MIN(Inputs!F21,MAX(0,ROUND(Inputs!F21*Inputs!H21*Inputs!$E$42,0)))</f>
        <v>10</v>
      </c>
      <c r="E19" s="47" t="n">
        <f aca="false">C19-L19+D19</f>
        <v>36</v>
      </c>
      <c r="F19" s="48" t="n">
        <f aca="false">(C19-J19+D19)*Inputs!D21*(1+Inputs!E21)+K19*Inputs!D21*(1+Inputs!$F$53)</f>
        <v>12700800</v>
      </c>
      <c r="G19" s="49" t="n">
        <f aca="false">MIN(1,MAX(0,Inputs!I21+Inputs!J21*Inputs!$F$42))</f>
        <v>0</v>
      </c>
      <c r="H19" s="48" t="n">
        <f aca="false">(C19-L19)*G19*Inputs!L21</f>
        <v>0</v>
      </c>
      <c r="I19" s="48" t="n">
        <f aca="false">D19*Inputs!M21</f>
        <v>1000000</v>
      </c>
      <c r="J19" s="47" t="n">
        <f aca="false">MAX(0,ROUND(Inputs!N21*(1+Inputs!O21*Inputs!$G$42),0))</f>
        <v>0</v>
      </c>
      <c r="K19" s="47" t="n">
        <f aca="false">MIN(J19,IFERROR(ROUND(Inputs!$C$56*Inputs!N21/Inputs!$N$23,0),0))</f>
        <v>0</v>
      </c>
      <c r="L19" s="47" t="n">
        <f aca="false">J19-K19</f>
        <v>0</v>
      </c>
    </row>
    <row r="20" customFormat="false" ht="15" hidden="false" customHeight="false" outlineLevel="0" collapsed="false">
      <c r="B20" s="42" t="str">
        <f aca="false">Inputs!B22</f>
        <v>A2</v>
      </c>
      <c r="C20" s="47" t="n">
        <f aca="false">Inputs!C22</f>
        <v>29</v>
      </c>
      <c r="D20" s="47" t="n">
        <f aca="false">MIN(Inputs!F22,MAX(0,ROUND(Inputs!F22*Inputs!H22*Inputs!$E$42,0)))</f>
        <v>1</v>
      </c>
      <c r="E20" s="47" t="n">
        <f aca="false">C20-L20+D20</f>
        <v>30</v>
      </c>
      <c r="F20" s="48" t="n">
        <f aca="false">(C20-J20+D20)*Inputs!D22*(1+Inputs!E22)+K20*Inputs!D22*(1+Inputs!$F$53)</f>
        <v>11016000</v>
      </c>
      <c r="G20" s="49" t="n">
        <f aca="false">MIN(1,MAX(0,Inputs!I22+Inputs!J22*Inputs!$F$42))</f>
        <v>0</v>
      </c>
      <c r="H20" s="48" t="n">
        <f aca="false">(C20-L20)*G20*Inputs!L22</f>
        <v>0</v>
      </c>
      <c r="I20" s="48" t="n">
        <f aca="false">D20*Inputs!M22</f>
        <v>100000</v>
      </c>
      <c r="J20" s="47" t="n">
        <f aca="false">MAX(0,ROUND(Inputs!N22*(1+Inputs!O22*Inputs!$G$42),0))</f>
        <v>0</v>
      </c>
      <c r="K20" s="47" t="n">
        <f aca="false">MIN(J20,IFERROR(ROUND(Inputs!$C$56*Inputs!N22/Inputs!$N$23,0),0))</f>
        <v>0</v>
      </c>
      <c r="L20" s="47" t="n">
        <f aca="false">J20-K20</f>
        <v>0</v>
      </c>
    </row>
    <row r="21" customFormat="false" ht="15" hidden="false" customHeight="false" outlineLevel="0" collapsed="false">
      <c r="B21" s="23" t="s">
        <v>62</v>
      </c>
      <c r="C21" s="44" t="n">
        <f aca="false">SUM(C6:C20)</f>
        <v>366</v>
      </c>
      <c r="D21" s="44" t="n">
        <f aca="false">SUM(D6:D20)</f>
        <v>48</v>
      </c>
      <c r="E21" s="44" t="n">
        <f aca="false">SUM(E6:E20)</f>
        <v>386</v>
      </c>
      <c r="F21" s="45" t="n">
        <f aca="false">SUM(F6:F20)</f>
        <v>119411930</v>
      </c>
      <c r="G21" s="46"/>
      <c r="H21" s="45" t="n">
        <f aca="false">SUM(H6:H20)</f>
        <v>3580000</v>
      </c>
      <c r="I21" s="45" t="n">
        <f aca="false">SUM(I6:I20)</f>
        <v>4800000</v>
      </c>
      <c r="J21" s="44" t="n">
        <f aca="false">SUM(J6:J20)</f>
        <v>45</v>
      </c>
      <c r="K21" s="44" t="n">
        <f aca="false">SUM(K6:K20)</f>
        <v>17</v>
      </c>
      <c r="L21" s="44" t="n">
        <f aca="false">SUM(L6:L20)</f>
        <v>28</v>
      </c>
    </row>
    <row r="24" customFormat="false" ht="15" hidden="false" customHeight="false" outlineLevel="0" collapsed="false">
      <c r="B24" s="11" t="s">
        <v>139</v>
      </c>
      <c r="C24" s="11"/>
      <c r="D24" s="11"/>
      <c r="E24" s="11"/>
      <c r="F24" s="11"/>
      <c r="G24" s="11"/>
      <c r="H24" s="11"/>
      <c r="I24" s="11"/>
      <c r="J24" s="11"/>
      <c r="K24" s="11"/>
      <c r="L24" s="11"/>
    </row>
    <row r="25" customFormat="false" ht="27.75" hidden="false" customHeight="true" outlineLevel="0" collapsed="false">
      <c r="B25" s="12" t="s">
        <v>32</v>
      </c>
      <c r="C25" s="12" t="s">
        <v>33</v>
      </c>
      <c r="D25" s="12" t="s">
        <v>127</v>
      </c>
      <c r="E25" s="12" t="s">
        <v>128</v>
      </c>
      <c r="F25" s="12" t="s">
        <v>129</v>
      </c>
      <c r="G25" s="12" t="s">
        <v>130</v>
      </c>
      <c r="H25" s="12" t="s">
        <v>131</v>
      </c>
      <c r="I25" s="12" t="s">
        <v>132</v>
      </c>
      <c r="J25" s="12" t="s">
        <v>137</v>
      </c>
      <c r="K25" s="12" t="s">
        <v>138</v>
      </c>
      <c r="L25" s="12" t="s">
        <v>133</v>
      </c>
    </row>
    <row r="26" customFormat="false" ht="15" hidden="false" customHeight="false" outlineLevel="0" collapsed="false">
      <c r="B26" s="42" t="str">
        <f aca="false">Inputs!B8</f>
        <v>Pre-KG</v>
      </c>
      <c r="C26" s="47" t="n">
        <f aca="false">Inputs!C8</f>
        <v>0</v>
      </c>
      <c r="D26" s="47" t="n">
        <f aca="false">MIN(Inputs!F8,MAX(0,ROUND(Inputs!F8*Inputs!G8*Inputs!$E$43,0)))</f>
        <v>0</v>
      </c>
      <c r="E26" s="47" t="n">
        <f aca="false">C26-L26+D26</f>
        <v>0</v>
      </c>
      <c r="F26" s="48" t="n">
        <f aca="false">(C26-J26+D26)*Inputs!D8*(1+Inputs!E8)+K26*Inputs!D8*(1+Inputs!$F$53)</f>
        <v>0</v>
      </c>
      <c r="G26" s="49" t="n">
        <f aca="false">Inputs!I8</f>
        <v>0</v>
      </c>
      <c r="H26" s="48" t="n">
        <f aca="false">(C26-L26)*G26*Inputs!L8</f>
        <v>0</v>
      </c>
      <c r="I26" s="48" t="n">
        <f aca="false">D26*Inputs!M8</f>
        <v>0</v>
      </c>
      <c r="J26" s="47" t="n">
        <f aca="false">Inputs!N8</f>
        <v>0</v>
      </c>
      <c r="K26" s="47" t="n">
        <f aca="false">MIN(J26,IFERROR(ROUND(Inputs!$C$57*Inputs!N8/Inputs!$N$23,0),0))</f>
        <v>0</v>
      </c>
      <c r="L26" s="47" t="n">
        <f aca="false">J26-K26</f>
        <v>0</v>
      </c>
    </row>
    <row r="27" customFormat="false" ht="15" hidden="false" customHeight="false" outlineLevel="0" collapsed="false">
      <c r="B27" s="42" t="str">
        <f aca="false">Inputs!B9</f>
        <v>LKG</v>
      </c>
      <c r="C27" s="47" t="n">
        <f aca="false">Inputs!C9</f>
        <v>4</v>
      </c>
      <c r="D27" s="47" t="n">
        <f aca="false">MIN(Inputs!F9,MAX(0,ROUND(Inputs!F9*Inputs!G9*Inputs!$E$43,0)))</f>
        <v>18</v>
      </c>
      <c r="E27" s="47" t="n">
        <f aca="false">C27-L27+D27</f>
        <v>22</v>
      </c>
      <c r="F27" s="48" t="n">
        <f aca="false">(C27-J27+D27)*Inputs!D9*(1+Inputs!E9)+K27*Inputs!D9*(1+Inputs!$F$53)</f>
        <v>4620000</v>
      </c>
      <c r="G27" s="49" t="n">
        <f aca="false">Inputs!I9</f>
        <v>0</v>
      </c>
      <c r="H27" s="48" t="n">
        <f aca="false">(C27-L27)*G27*Inputs!L9</f>
        <v>0</v>
      </c>
      <c r="I27" s="48" t="n">
        <f aca="false">D27*Inputs!M9</f>
        <v>1800000</v>
      </c>
      <c r="J27" s="47" t="n">
        <f aca="false">Inputs!N9</f>
        <v>0</v>
      </c>
      <c r="K27" s="47" t="n">
        <f aca="false">MIN(J27,IFERROR(ROUND(Inputs!$C$57*Inputs!N9/Inputs!$N$23,0),0))</f>
        <v>0</v>
      </c>
      <c r="L27" s="47" t="n">
        <f aca="false">J27-K27</f>
        <v>0</v>
      </c>
    </row>
    <row r="28" customFormat="false" ht="15" hidden="false" customHeight="false" outlineLevel="0" collapsed="false">
      <c r="B28" s="42" t="str">
        <f aca="false">Inputs!B10</f>
        <v>UKG</v>
      </c>
      <c r="C28" s="47" t="n">
        <f aca="false">Inputs!C10</f>
        <v>15</v>
      </c>
      <c r="D28" s="47" t="n">
        <f aca="false">MIN(Inputs!F10,MAX(0,ROUND(Inputs!F10*Inputs!G10*Inputs!$E$43,0)))</f>
        <v>11</v>
      </c>
      <c r="E28" s="47" t="n">
        <f aca="false">C28-L28+D28</f>
        <v>26</v>
      </c>
      <c r="F28" s="48" t="n">
        <f aca="false">(C28-J28+D28)*Inputs!D10*(1+Inputs!E10)+K28*Inputs!D10*(1+Inputs!$F$53)</f>
        <v>5226000</v>
      </c>
      <c r="G28" s="49" t="n">
        <f aca="false">Inputs!I10</f>
        <v>0</v>
      </c>
      <c r="H28" s="48" t="n">
        <f aca="false">(C28-L28)*G28*Inputs!L10</f>
        <v>0</v>
      </c>
      <c r="I28" s="48" t="n">
        <f aca="false">D28*Inputs!M10</f>
        <v>1100000</v>
      </c>
      <c r="J28" s="47" t="n">
        <f aca="false">Inputs!N10</f>
        <v>0</v>
      </c>
      <c r="K28" s="47" t="n">
        <f aca="false">MIN(J28,IFERROR(ROUND(Inputs!$C$57*Inputs!N10/Inputs!$N$23,0),0))</f>
        <v>0</v>
      </c>
      <c r="L28" s="47" t="n">
        <f aca="false">J28-K28</f>
        <v>0</v>
      </c>
    </row>
    <row r="29" customFormat="false" ht="15" hidden="false" customHeight="false" outlineLevel="0" collapsed="false">
      <c r="B29" s="42" t="str">
        <f aca="false">Inputs!B11</f>
        <v>I</v>
      </c>
      <c r="C29" s="47" t="n">
        <f aca="false">Inputs!C11</f>
        <v>23</v>
      </c>
      <c r="D29" s="47" t="n">
        <f aca="false">MIN(Inputs!F11,MAX(0,ROUND(Inputs!F11*Inputs!G11*Inputs!$E$43,0)))</f>
        <v>11</v>
      </c>
      <c r="E29" s="47" t="n">
        <f aca="false">C29-L29+D29</f>
        <v>34</v>
      </c>
      <c r="F29" s="48" t="n">
        <f aca="false">(C29-J29+D29)*Inputs!D11*(1+Inputs!E11)+K29*Inputs!D11*(1+Inputs!$F$53)</f>
        <v>7378000</v>
      </c>
      <c r="G29" s="49" t="n">
        <f aca="false">Inputs!I11</f>
        <v>0</v>
      </c>
      <c r="H29" s="48" t="n">
        <f aca="false">(C29-L29)*G29*Inputs!L11</f>
        <v>0</v>
      </c>
      <c r="I29" s="48" t="n">
        <f aca="false">D29*Inputs!M11</f>
        <v>1100000</v>
      </c>
      <c r="J29" s="47" t="n">
        <f aca="false">Inputs!N11</f>
        <v>0</v>
      </c>
      <c r="K29" s="47" t="n">
        <f aca="false">MIN(J29,IFERROR(ROUND(Inputs!$C$57*Inputs!N11/Inputs!$N$23,0),0))</f>
        <v>0</v>
      </c>
      <c r="L29" s="47" t="n">
        <f aca="false">J29-K29</f>
        <v>0</v>
      </c>
    </row>
    <row r="30" customFormat="false" ht="15" hidden="false" customHeight="false" outlineLevel="0" collapsed="false">
      <c r="B30" s="42" t="str">
        <f aca="false">Inputs!B12</f>
        <v>II</v>
      </c>
      <c r="C30" s="47" t="n">
        <f aca="false">Inputs!C12</f>
        <v>33</v>
      </c>
      <c r="D30" s="47" t="n">
        <f aca="false">MIN(Inputs!F12,MAX(0,ROUND(Inputs!F12*Inputs!G12*Inputs!$E$43,0)))</f>
        <v>0</v>
      </c>
      <c r="E30" s="47" t="n">
        <f aca="false">C30-L30+D30</f>
        <v>33</v>
      </c>
      <c r="F30" s="48" t="n">
        <f aca="false">(C30-J30+D30)*Inputs!D12*(1+Inputs!E12)+K30*Inputs!D12*(1+Inputs!$F$53)</f>
        <v>8517250</v>
      </c>
      <c r="G30" s="49" t="n">
        <f aca="false">Inputs!I12</f>
        <v>0</v>
      </c>
      <c r="H30" s="48" t="n">
        <f aca="false">(C30-L30)*G30*Inputs!L12</f>
        <v>0</v>
      </c>
      <c r="I30" s="48" t="n">
        <f aca="false">D30*Inputs!M12</f>
        <v>0</v>
      </c>
      <c r="J30" s="47" t="n">
        <f aca="false">Inputs!N12</f>
        <v>5</v>
      </c>
      <c r="K30" s="47" t="n">
        <f aca="false">MIN(J30,IFERROR(ROUND(Inputs!$C$57*Inputs!N12/Inputs!$N$23,0),0))</f>
        <v>5</v>
      </c>
      <c r="L30" s="47" t="n">
        <f aca="false">J30-K30</f>
        <v>0</v>
      </c>
    </row>
    <row r="31" customFormat="false" ht="15" hidden="false" customHeight="false" outlineLevel="0" collapsed="false">
      <c r="B31" s="42" t="str">
        <f aca="false">Inputs!B13</f>
        <v>III</v>
      </c>
      <c r="C31" s="47" t="n">
        <f aca="false">Inputs!C13</f>
        <v>34</v>
      </c>
      <c r="D31" s="47" t="n">
        <f aca="false">MIN(Inputs!F13,MAX(0,ROUND(Inputs!F13*Inputs!G13*Inputs!$E$43,0)))</f>
        <v>0</v>
      </c>
      <c r="E31" s="47" t="n">
        <f aca="false">C31-L31+D31</f>
        <v>34</v>
      </c>
      <c r="F31" s="48" t="n">
        <f aca="false">(C31-J31+D31)*Inputs!D13*(1+Inputs!E13)+K31*Inputs!D13*(1+Inputs!$F$53)</f>
        <v>9182150</v>
      </c>
      <c r="G31" s="49" t="n">
        <f aca="false">Inputs!I13</f>
        <v>0</v>
      </c>
      <c r="H31" s="48" t="n">
        <f aca="false">(C31-L31)*G31*Inputs!L13</f>
        <v>0</v>
      </c>
      <c r="I31" s="48" t="n">
        <f aca="false">D31*Inputs!M13</f>
        <v>0</v>
      </c>
      <c r="J31" s="47" t="n">
        <f aca="false">Inputs!N13</f>
        <v>5</v>
      </c>
      <c r="K31" s="47" t="n">
        <f aca="false">MIN(J31,IFERROR(ROUND(Inputs!$C$57*Inputs!N13/Inputs!$N$23,0),0))</f>
        <v>5</v>
      </c>
      <c r="L31" s="47" t="n">
        <f aca="false">J31-K31</f>
        <v>0</v>
      </c>
    </row>
    <row r="32" customFormat="false" ht="15" hidden="false" customHeight="false" outlineLevel="0" collapsed="false">
      <c r="B32" s="42" t="str">
        <f aca="false">Inputs!B14</f>
        <v>IV</v>
      </c>
      <c r="C32" s="47" t="n">
        <f aca="false">Inputs!C14</f>
        <v>32</v>
      </c>
      <c r="D32" s="47" t="n">
        <f aca="false">MIN(Inputs!F14,MAX(0,ROUND(Inputs!F14*Inputs!G14*Inputs!$E$43,0)))</f>
        <v>0</v>
      </c>
      <c r="E32" s="47" t="n">
        <f aca="false">C32-L32+D32</f>
        <v>32</v>
      </c>
      <c r="F32" s="48" t="n">
        <f aca="false">(C32-J32+D32)*Inputs!D14*(1+Inputs!E14)+K32*Inputs!D14*(1+Inputs!$F$53)</f>
        <v>8827600</v>
      </c>
      <c r="G32" s="49" t="n">
        <f aca="false">Inputs!I14</f>
        <v>0</v>
      </c>
      <c r="H32" s="48" t="n">
        <f aca="false">(C32-L32)*G32*Inputs!L14</f>
        <v>0</v>
      </c>
      <c r="I32" s="48" t="n">
        <f aca="false">D32*Inputs!M14</f>
        <v>0</v>
      </c>
      <c r="J32" s="47" t="n">
        <f aca="false">Inputs!N14</f>
        <v>5</v>
      </c>
      <c r="K32" s="47" t="n">
        <f aca="false">MIN(J32,IFERROR(ROUND(Inputs!$C$57*Inputs!N14/Inputs!$N$23,0),0))</f>
        <v>5</v>
      </c>
      <c r="L32" s="47" t="n">
        <f aca="false">J32-K32</f>
        <v>0</v>
      </c>
    </row>
    <row r="33" customFormat="false" ht="15" hidden="false" customHeight="false" outlineLevel="0" collapsed="false">
      <c r="B33" s="42" t="str">
        <f aca="false">Inputs!B15</f>
        <v>V</v>
      </c>
      <c r="C33" s="47" t="n">
        <f aca="false">Inputs!C15</f>
        <v>31</v>
      </c>
      <c r="D33" s="47" t="n">
        <f aca="false">MIN(Inputs!F15,MAX(0,ROUND(Inputs!F15*Inputs!G15*Inputs!$E$43,0)))</f>
        <v>1</v>
      </c>
      <c r="E33" s="47" t="n">
        <f aca="false">C33-L33+D33</f>
        <v>32</v>
      </c>
      <c r="F33" s="48" t="n">
        <f aca="false">(C33-J33+D33)*Inputs!D15*(1+Inputs!E15)+K33*Inputs!D15*(1+Inputs!$F$53)</f>
        <v>9664700</v>
      </c>
      <c r="G33" s="49" t="n">
        <f aca="false">Inputs!I15</f>
        <v>0</v>
      </c>
      <c r="H33" s="48" t="n">
        <f aca="false">(C33-L33)*G33*Inputs!L15</f>
        <v>0</v>
      </c>
      <c r="I33" s="48" t="n">
        <f aca="false">D33*Inputs!M15</f>
        <v>100000</v>
      </c>
      <c r="J33" s="47" t="n">
        <f aca="false">Inputs!N15</f>
        <v>5</v>
      </c>
      <c r="K33" s="47" t="n">
        <f aca="false">MIN(J33,IFERROR(ROUND(Inputs!$C$57*Inputs!N15/Inputs!$N$23,0),0))</f>
        <v>5</v>
      </c>
      <c r="L33" s="47" t="n">
        <f aca="false">J33-K33</f>
        <v>0</v>
      </c>
    </row>
    <row r="34" customFormat="false" ht="15" hidden="false" customHeight="false" outlineLevel="0" collapsed="false">
      <c r="B34" s="42" t="str">
        <f aca="false">Inputs!B16</f>
        <v>VI</v>
      </c>
      <c r="C34" s="47" t="n">
        <f aca="false">Inputs!C16</f>
        <v>31</v>
      </c>
      <c r="D34" s="47" t="n">
        <f aca="false">MIN(Inputs!F16,MAX(0,ROUND(Inputs!F16*Inputs!G16*Inputs!$E$43,0)))</f>
        <v>1</v>
      </c>
      <c r="E34" s="47" t="n">
        <f aca="false">C34-L34+D34</f>
        <v>32</v>
      </c>
      <c r="F34" s="48" t="n">
        <f aca="false">(C34-J34+D34)*Inputs!D16*(1+Inputs!E16)+K34*Inputs!D16*(1+Inputs!$F$53)</f>
        <v>10311300</v>
      </c>
      <c r="G34" s="49" t="n">
        <f aca="false">Inputs!I16</f>
        <v>0.2</v>
      </c>
      <c r="H34" s="48" t="n">
        <f aca="false">(C34-L34)*G34*Inputs!L16</f>
        <v>1240000</v>
      </c>
      <c r="I34" s="48" t="n">
        <f aca="false">D34*Inputs!M16</f>
        <v>100000</v>
      </c>
      <c r="J34" s="47" t="n">
        <f aca="false">Inputs!N16</f>
        <v>3</v>
      </c>
      <c r="K34" s="47" t="n">
        <f aca="false">MIN(J34,IFERROR(ROUND(Inputs!$C$57*Inputs!N16/Inputs!$N$23,0),0))</f>
        <v>3</v>
      </c>
      <c r="L34" s="47" t="n">
        <f aca="false">J34-K34</f>
        <v>0</v>
      </c>
    </row>
    <row r="35" customFormat="false" ht="15" hidden="false" customHeight="false" outlineLevel="0" collapsed="false">
      <c r="B35" s="42" t="str">
        <f aca="false">Inputs!B17</f>
        <v>VII</v>
      </c>
      <c r="C35" s="47" t="n">
        <f aca="false">Inputs!C17</f>
        <v>27</v>
      </c>
      <c r="D35" s="47" t="n">
        <f aca="false">MIN(Inputs!F17,MAX(0,ROUND(Inputs!F17*Inputs!G17*Inputs!$E$43,0)))</f>
        <v>2</v>
      </c>
      <c r="E35" s="47" t="n">
        <f aca="false">C35-L35+D35</f>
        <v>29</v>
      </c>
      <c r="F35" s="48" t="n">
        <f aca="false">(C35-J35+D35)*Inputs!D17*(1+Inputs!E17)+K35*Inputs!D17*(1+Inputs!$F$53)</f>
        <v>9982080</v>
      </c>
      <c r="G35" s="49" t="n">
        <f aca="false">Inputs!I17</f>
        <v>0.2</v>
      </c>
      <c r="H35" s="48" t="n">
        <f aca="false">(C35-L35)*G35*Inputs!L17</f>
        <v>1080000</v>
      </c>
      <c r="I35" s="48" t="n">
        <f aca="false">D35*Inputs!M17</f>
        <v>200000</v>
      </c>
      <c r="J35" s="47" t="n">
        <f aca="false">Inputs!N17</f>
        <v>2</v>
      </c>
      <c r="K35" s="47" t="n">
        <f aca="false">MIN(J35,IFERROR(ROUND(Inputs!$C$57*Inputs!N17/Inputs!$N$23,0),0))</f>
        <v>2</v>
      </c>
      <c r="L35" s="47" t="n">
        <f aca="false">J35-K35</f>
        <v>0</v>
      </c>
    </row>
    <row r="36" customFormat="false" ht="15" hidden="false" customHeight="false" outlineLevel="0" collapsed="false">
      <c r="B36" s="42" t="str">
        <f aca="false">Inputs!B18</f>
        <v>VIII</v>
      </c>
      <c r="C36" s="47" t="n">
        <f aca="false">Inputs!C18</f>
        <v>25</v>
      </c>
      <c r="D36" s="47" t="n">
        <f aca="false">MIN(Inputs!F18,MAX(0,ROUND(Inputs!F18*Inputs!G18*Inputs!$E$43,0)))</f>
        <v>3</v>
      </c>
      <c r="E36" s="47" t="n">
        <f aca="false">C36-L36+D36</f>
        <v>28</v>
      </c>
      <c r="F36" s="48" t="n">
        <f aca="false">(C36-J36+D36)*Inputs!D18*(1+Inputs!E18)+K36*Inputs!D18*(1+Inputs!$F$53)</f>
        <v>10171840</v>
      </c>
      <c r="G36" s="49" t="n">
        <f aca="false">Inputs!I18</f>
        <v>0.3</v>
      </c>
      <c r="H36" s="48" t="n">
        <f aca="false">(C36-L36)*G36*Inputs!L18</f>
        <v>1500000</v>
      </c>
      <c r="I36" s="48" t="n">
        <f aca="false">D36*Inputs!M18</f>
        <v>300000</v>
      </c>
      <c r="J36" s="47" t="n">
        <f aca="false">Inputs!N18</f>
        <v>2</v>
      </c>
      <c r="K36" s="47" t="n">
        <f aca="false">MIN(J36,IFERROR(ROUND(Inputs!$C$57*Inputs!N18/Inputs!$N$23,0),0))</f>
        <v>2</v>
      </c>
      <c r="L36" s="47" t="n">
        <f aca="false">J36-K36</f>
        <v>0</v>
      </c>
    </row>
    <row r="37" customFormat="false" ht="15" hidden="false" customHeight="false" outlineLevel="0" collapsed="false">
      <c r="B37" s="42" t="str">
        <f aca="false">Inputs!B19</f>
        <v>IX</v>
      </c>
      <c r="C37" s="47" t="n">
        <f aca="false">Inputs!C19</f>
        <v>26</v>
      </c>
      <c r="D37" s="47" t="n">
        <f aca="false">MIN(Inputs!F19,MAX(0,ROUND(Inputs!F19*Inputs!G19*Inputs!$E$43,0)))</f>
        <v>3</v>
      </c>
      <c r="E37" s="47" t="n">
        <f aca="false">C37-L37+D37</f>
        <v>29</v>
      </c>
      <c r="F37" s="48" t="n">
        <f aca="false">(C37-J37+D37)*Inputs!D19*(1+Inputs!E19)+K37*Inputs!D19*(1+Inputs!$F$53)</f>
        <v>11078870</v>
      </c>
      <c r="G37" s="49" t="n">
        <f aca="false">Inputs!I19</f>
        <v>0.3</v>
      </c>
      <c r="H37" s="48" t="n">
        <f aca="false">(C37-L37)*G37*Inputs!L19</f>
        <v>1560000</v>
      </c>
      <c r="I37" s="48" t="n">
        <f aca="false">D37*Inputs!M19</f>
        <v>300000</v>
      </c>
      <c r="J37" s="47" t="n">
        <f aca="false">Inputs!N19</f>
        <v>1</v>
      </c>
      <c r="K37" s="47" t="n">
        <f aca="false">MIN(J37,IFERROR(ROUND(Inputs!$C$57*Inputs!N19/Inputs!$N$23,0),0))</f>
        <v>1</v>
      </c>
      <c r="L37" s="47" t="n">
        <f aca="false">J37-K37</f>
        <v>0</v>
      </c>
    </row>
    <row r="38" customFormat="false" ht="15" hidden="false" customHeight="false" outlineLevel="0" collapsed="false">
      <c r="B38" s="42" t="str">
        <f aca="false">Inputs!B20</f>
        <v>X</v>
      </c>
      <c r="C38" s="47" t="n">
        <f aca="false">Inputs!C20</f>
        <v>30</v>
      </c>
      <c r="D38" s="47" t="n">
        <f aca="false">MIN(Inputs!F20,MAX(0,ROUND(Inputs!F20*Inputs!G20*Inputs!$E$43,0)))</f>
        <v>0</v>
      </c>
      <c r="E38" s="47" t="n">
        <f aca="false">C38-L38+D38</f>
        <v>30</v>
      </c>
      <c r="F38" s="48" t="n">
        <f aca="false">(C38-J38+D38)*Inputs!D20*(1+Inputs!E20)+K38*Inputs!D20*(1+Inputs!$F$53)</f>
        <v>11952000</v>
      </c>
      <c r="G38" s="49" t="n">
        <f aca="false">Inputs!I20</f>
        <v>0.2</v>
      </c>
      <c r="H38" s="48" t="n">
        <f aca="false">(C38-L38)*G38*Inputs!L20</f>
        <v>1200000</v>
      </c>
      <c r="I38" s="48" t="n">
        <f aca="false">D38*Inputs!M20</f>
        <v>0</v>
      </c>
      <c r="J38" s="47" t="n">
        <f aca="false">Inputs!N20</f>
        <v>0</v>
      </c>
      <c r="K38" s="47" t="n">
        <f aca="false">MIN(J38,IFERROR(ROUND(Inputs!$C$57*Inputs!N20/Inputs!$N$23,0),0))</f>
        <v>0</v>
      </c>
      <c r="L38" s="47" t="n">
        <f aca="false">J38-K38</f>
        <v>0</v>
      </c>
    </row>
    <row r="39" customFormat="false" ht="15" hidden="false" customHeight="false" outlineLevel="0" collapsed="false">
      <c r="B39" s="42" t="str">
        <f aca="false">Inputs!B21</f>
        <v>AS</v>
      </c>
      <c r="C39" s="47" t="n">
        <f aca="false">Inputs!C21</f>
        <v>26</v>
      </c>
      <c r="D39" s="47" t="n">
        <f aca="false">MIN(Inputs!F21,MAX(0,ROUND(Inputs!F21*Inputs!G21*Inputs!$E$43,0)))</f>
        <v>17</v>
      </c>
      <c r="E39" s="47" t="n">
        <f aca="false">C39-L39+D39</f>
        <v>43</v>
      </c>
      <c r="F39" s="48" t="n">
        <f aca="false">(C39-J39+D39)*Inputs!D21*(1+Inputs!E21)+K39*Inputs!D21*(1+Inputs!$F$53)</f>
        <v>15170400</v>
      </c>
      <c r="G39" s="49" t="n">
        <f aca="false">Inputs!I21</f>
        <v>0.1</v>
      </c>
      <c r="H39" s="48" t="n">
        <f aca="false">(C39-L39)*G39*Inputs!L21</f>
        <v>520000</v>
      </c>
      <c r="I39" s="48" t="n">
        <f aca="false">D39*Inputs!M21</f>
        <v>1700000</v>
      </c>
      <c r="J39" s="47" t="n">
        <f aca="false">Inputs!N21</f>
        <v>0</v>
      </c>
      <c r="K39" s="47" t="n">
        <f aca="false">MIN(J39,IFERROR(ROUND(Inputs!$C$57*Inputs!N21/Inputs!$N$23,0),0))</f>
        <v>0</v>
      </c>
      <c r="L39" s="47" t="n">
        <f aca="false">J39-K39</f>
        <v>0</v>
      </c>
    </row>
    <row r="40" customFormat="false" ht="15" hidden="false" customHeight="false" outlineLevel="0" collapsed="false">
      <c r="B40" s="42" t="str">
        <f aca="false">Inputs!B22</f>
        <v>A2</v>
      </c>
      <c r="C40" s="47" t="n">
        <f aca="false">Inputs!C22</f>
        <v>29</v>
      </c>
      <c r="D40" s="47" t="n">
        <f aca="false">MIN(Inputs!F22,MAX(0,ROUND(Inputs!F22*Inputs!G22*Inputs!$E$43,0)))</f>
        <v>1</v>
      </c>
      <c r="E40" s="47" t="n">
        <f aca="false">C40-L40+D40</f>
        <v>30</v>
      </c>
      <c r="F40" s="48" t="n">
        <f aca="false">(C40-J40+D40)*Inputs!D22*(1+Inputs!E22)+K40*Inputs!D22*(1+Inputs!$F$53)</f>
        <v>11016000</v>
      </c>
      <c r="G40" s="49" t="n">
        <f aca="false">Inputs!I22</f>
        <v>0</v>
      </c>
      <c r="H40" s="48" t="n">
        <f aca="false">(C40-L40)*G40*Inputs!L22</f>
        <v>0</v>
      </c>
      <c r="I40" s="48" t="n">
        <f aca="false">D40*Inputs!M22</f>
        <v>100000</v>
      </c>
      <c r="J40" s="47" t="n">
        <f aca="false">Inputs!N22</f>
        <v>0</v>
      </c>
      <c r="K40" s="47" t="n">
        <f aca="false">MIN(J40,IFERROR(ROUND(Inputs!$C$57*Inputs!N22/Inputs!$N$23,0),0))</f>
        <v>0</v>
      </c>
      <c r="L40" s="47" t="n">
        <f aca="false">J40-K40</f>
        <v>0</v>
      </c>
    </row>
    <row r="41" customFormat="false" ht="15" hidden="false" customHeight="false" outlineLevel="0" collapsed="false">
      <c r="B41" s="23" t="s">
        <v>62</v>
      </c>
      <c r="C41" s="44" t="n">
        <f aca="false">SUM(C26:C40)</f>
        <v>366</v>
      </c>
      <c r="D41" s="44" t="n">
        <f aca="false">SUM(D26:D40)</f>
        <v>68</v>
      </c>
      <c r="E41" s="44" t="n">
        <f aca="false">SUM(E26:E40)</f>
        <v>434</v>
      </c>
      <c r="F41" s="45" t="n">
        <f aca="false">SUM(F26:F40)</f>
        <v>133098190</v>
      </c>
      <c r="G41" s="46"/>
      <c r="H41" s="45" t="n">
        <f aca="false">SUM(H26:H40)</f>
        <v>7100000</v>
      </c>
      <c r="I41" s="45" t="n">
        <f aca="false">SUM(I26:I40)</f>
        <v>6800000</v>
      </c>
      <c r="J41" s="44" t="n">
        <f aca="false">SUM(J26:J40)</f>
        <v>28</v>
      </c>
      <c r="K41" s="44" t="n">
        <f aca="false">SUM(K26:K40)</f>
        <v>28</v>
      </c>
      <c r="L41" s="44" t="n">
        <f aca="false">SUM(L26:L40)</f>
        <v>0</v>
      </c>
    </row>
    <row r="44" customFormat="false" ht="15" hidden="false" customHeight="false" outlineLevel="0" collapsed="false">
      <c r="B44" s="11" t="s">
        <v>140</v>
      </c>
      <c r="C44" s="11"/>
      <c r="D44" s="11"/>
      <c r="E44" s="11"/>
      <c r="F44" s="11"/>
      <c r="G44" s="11"/>
      <c r="H44" s="11"/>
      <c r="I44" s="11"/>
      <c r="J44" s="11"/>
      <c r="K44" s="11"/>
      <c r="L44" s="11"/>
    </row>
    <row r="45" customFormat="false" ht="27.75" hidden="false" customHeight="true" outlineLevel="0" collapsed="false">
      <c r="B45" s="12" t="s">
        <v>32</v>
      </c>
      <c r="C45" s="12" t="s">
        <v>33</v>
      </c>
      <c r="D45" s="12" t="s">
        <v>127</v>
      </c>
      <c r="E45" s="12" t="s">
        <v>128</v>
      </c>
      <c r="F45" s="12" t="s">
        <v>129</v>
      </c>
      <c r="G45" s="12" t="s">
        <v>130</v>
      </c>
      <c r="H45" s="12" t="s">
        <v>131</v>
      </c>
      <c r="I45" s="12" t="s">
        <v>132</v>
      </c>
      <c r="J45" s="12" t="s">
        <v>137</v>
      </c>
      <c r="K45" s="12" t="s">
        <v>138</v>
      </c>
      <c r="L45" s="12" t="s">
        <v>133</v>
      </c>
    </row>
    <row r="46" customFormat="false" ht="15" hidden="false" customHeight="false" outlineLevel="0" collapsed="false">
      <c r="B46" s="42" t="str">
        <f aca="false">Inputs!B8</f>
        <v>Pre-KG</v>
      </c>
      <c r="C46" s="47" t="n">
        <f aca="false">Inputs!C8</f>
        <v>0</v>
      </c>
      <c r="D46" s="47" t="n">
        <f aca="false">Inputs!F8</f>
        <v>0</v>
      </c>
      <c r="E46" s="47" t="n">
        <f aca="false">C46-L46+D46</f>
        <v>0</v>
      </c>
      <c r="F46" s="48" t="n">
        <f aca="false">(C46-J46+D46)*Inputs!D8*(1+Inputs!E8)+K46*Inputs!D8*(1+Inputs!$F$53)</f>
        <v>0</v>
      </c>
      <c r="G46" s="49" t="n">
        <f aca="false">MIN(1,MAX(0,Inputs!I8+Inputs!K8*Inputs!$F$44))</f>
        <v>0</v>
      </c>
      <c r="H46" s="48" t="n">
        <f aca="false">(C46-L46)*G46*Inputs!L8</f>
        <v>0</v>
      </c>
      <c r="I46" s="48" t="n">
        <f aca="false">D46*Inputs!M8</f>
        <v>0</v>
      </c>
      <c r="J46" s="47" t="n">
        <f aca="false">MAX(0,ROUND(Inputs!N8*(1+Inputs!P8*Inputs!$G$44),0))</f>
        <v>0</v>
      </c>
      <c r="K46" s="47" t="n">
        <f aca="false">MIN(J46,IFERROR(ROUND(Inputs!$C$58*Inputs!N8/Inputs!$N$23,0),0))</f>
        <v>0</v>
      </c>
      <c r="L46" s="47" t="n">
        <f aca="false">J46-K46</f>
        <v>0</v>
      </c>
    </row>
    <row r="47" customFormat="false" ht="15" hidden="false" customHeight="false" outlineLevel="0" collapsed="false">
      <c r="B47" s="42" t="str">
        <f aca="false">Inputs!B9</f>
        <v>LKG</v>
      </c>
      <c r="C47" s="47" t="n">
        <f aca="false">Inputs!C9</f>
        <v>4</v>
      </c>
      <c r="D47" s="47" t="n">
        <f aca="false">Inputs!F9</f>
        <v>26</v>
      </c>
      <c r="E47" s="47" t="n">
        <f aca="false">C47-L47+D47</f>
        <v>30</v>
      </c>
      <c r="F47" s="48" t="n">
        <f aca="false">(C47-J47+D47)*Inputs!D9*(1+Inputs!E9)+K47*Inputs!D9*(1+Inputs!$F$53)</f>
        <v>6300000</v>
      </c>
      <c r="G47" s="49" t="n">
        <f aca="false">MIN(1,MAX(0,Inputs!I9+Inputs!K9*Inputs!$F$44))</f>
        <v>0</v>
      </c>
      <c r="H47" s="48" t="n">
        <f aca="false">(C47-L47)*G47*Inputs!L9</f>
        <v>0</v>
      </c>
      <c r="I47" s="48" t="n">
        <f aca="false">D47*Inputs!M9</f>
        <v>2600000</v>
      </c>
      <c r="J47" s="47" t="n">
        <f aca="false">MAX(0,ROUND(Inputs!N9*(1+Inputs!P9*Inputs!$G$44),0))</f>
        <v>0</v>
      </c>
      <c r="K47" s="47" t="n">
        <f aca="false">MIN(J47,IFERROR(ROUND(Inputs!$C$58*Inputs!N9/Inputs!$N$23,0),0))</f>
        <v>0</v>
      </c>
      <c r="L47" s="47" t="n">
        <f aca="false">J47-K47</f>
        <v>0</v>
      </c>
    </row>
    <row r="48" customFormat="false" ht="15" hidden="false" customHeight="false" outlineLevel="0" collapsed="false">
      <c r="B48" s="42" t="str">
        <f aca="false">Inputs!B10</f>
        <v>UKG</v>
      </c>
      <c r="C48" s="47" t="n">
        <f aca="false">Inputs!C10</f>
        <v>15</v>
      </c>
      <c r="D48" s="47" t="n">
        <f aca="false">Inputs!F10</f>
        <v>15</v>
      </c>
      <c r="E48" s="47" t="n">
        <f aca="false">C48-L48+D48</f>
        <v>30</v>
      </c>
      <c r="F48" s="48" t="n">
        <f aca="false">(C48-J48+D48)*Inputs!D10*(1+Inputs!E10)+K48*Inputs!D10*(1+Inputs!$F$53)</f>
        <v>6030000</v>
      </c>
      <c r="G48" s="49" t="n">
        <f aca="false">MIN(1,MAX(0,Inputs!I10+Inputs!K10*Inputs!$F$44))</f>
        <v>0</v>
      </c>
      <c r="H48" s="48" t="n">
        <f aca="false">(C48-L48)*G48*Inputs!L10</f>
        <v>0</v>
      </c>
      <c r="I48" s="48" t="n">
        <f aca="false">D48*Inputs!M10</f>
        <v>1500000</v>
      </c>
      <c r="J48" s="47" t="n">
        <f aca="false">MAX(0,ROUND(Inputs!N10*(1+Inputs!P10*Inputs!$G$44),0))</f>
        <v>0</v>
      </c>
      <c r="K48" s="47" t="n">
        <f aca="false">MIN(J48,IFERROR(ROUND(Inputs!$C$58*Inputs!N10/Inputs!$N$23,0),0))</f>
        <v>0</v>
      </c>
      <c r="L48" s="47" t="n">
        <f aca="false">J48-K48</f>
        <v>0</v>
      </c>
    </row>
    <row r="49" customFormat="false" ht="15" hidden="false" customHeight="false" outlineLevel="0" collapsed="false">
      <c r="B49" s="42" t="str">
        <f aca="false">Inputs!B11</f>
        <v>I</v>
      </c>
      <c r="C49" s="47" t="n">
        <f aca="false">Inputs!C11</f>
        <v>23</v>
      </c>
      <c r="D49" s="47" t="n">
        <f aca="false">Inputs!F11</f>
        <v>14</v>
      </c>
      <c r="E49" s="47" t="n">
        <f aca="false">C49-L49+D49</f>
        <v>37</v>
      </c>
      <c r="F49" s="48" t="n">
        <f aca="false">(C49-J49+D49)*Inputs!D11*(1+Inputs!E11)+K49*Inputs!D11*(1+Inputs!$F$53)</f>
        <v>8029000</v>
      </c>
      <c r="G49" s="49" t="n">
        <f aca="false">MIN(1,MAX(0,Inputs!I11+Inputs!K11*Inputs!$F$44))</f>
        <v>0</v>
      </c>
      <c r="H49" s="48" t="n">
        <f aca="false">(C49-L49)*G49*Inputs!L11</f>
        <v>0</v>
      </c>
      <c r="I49" s="48" t="n">
        <f aca="false">D49*Inputs!M11</f>
        <v>1400000</v>
      </c>
      <c r="J49" s="47" t="n">
        <f aca="false">MAX(0,ROUND(Inputs!N11*(1+Inputs!P11*Inputs!$G$44),0))</f>
        <v>0</v>
      </c>
      <c r="K49" s="47" t="n">
        <f aca="false">MIN(J49,IFERROR(ROUND(Inputs!$C$58*Inputs!N11/Inputs!$N$23,0),0))</f>
        <v>0</v>
      </c>
      <c r="L49" s="47" t="n">
        <f aca="false">J49-K49</f>
        <v>0</v>
      </c>
    </row>
    <row r="50" customFormat="false" ht="15" hidden="false" customHeight="false" outlineLevel="0" collapsed="false">
      <c r="B50" s="42" t="str">
        <f aca="false">Inputs!B12</f>
        <v>II</v>
      </c>
      <c r="C50" s="47" t="n">
        <f aca="false">Inputs!C12</f>
        <v>33</v>
      </c>
      <c r="D50" s="47" t="n">
        <f aca="false">Inputs!F12</f>
        <v>0</v>
      </c>
      <c r="E50" s="47" t="n">
        <f aca="false">C50-L50+D50</f>
        <v>33</v>
      </c>
      <c r="F50" s="48" t="n">
        <f aca="false">(C50-J50+D50)*Inputs!D12*(1+Inputs!E12)+K50*Inputs!D12*(1+Inputs!$F$53)</f>
        <v>8547630</v>
      </c>
      <c r="G50" s="49" t="n">
        <f aca="false">MIN(1,MAX(0,Inputs!I12+Inputs!K12*Inputs!$F$44))</f>
        <v>0</v>
      </c>
      <c r="H50" s="48" t="n">
        <f aca="false">(C50-L50)*G50*Inputs!L12</f>
        <v>0</v>
      </c>
      <c r="I50" s="48" t="n">
        <f aca="false">D50*Inputs!M12</f>
        <v>0</v>
      </c>
      <c r="J50" s="47" t="n">
        <f aca="false">MAX(0,ROUND(Inputs!N12*(1+Inputs!P12*Inputs!$G$44),0))</f>
        <v>3</v>
      </c>
      <c r="K50" s="47" t="n">
        <f aca="false">MIN(J50,IFERROR(ROUND(Inputs!$C$58*Inputs!N12/Inputs!$N$23,0),0))</f>
        <v>3</v>
      </c>
      <c r="L50" s="47" t="n">
        <f aca="false">J50-K50</f>
        <v>0</v>
      </c>
    </row>
    <row r="51" customFormat="false" ht="15" hidden="false" customHeight="false" outlineLevel="0" collapsed="false">
      <c r="B51" s="42" t="str">
        <f aca="false">Inputs!B13</f>
        <v>III</v>
      </c>
      <c r="C51" s="47" t="n">
        <f aca="false">Inputs!C13</f>
        <v>34</v>
      </c>
      <c r="D51" s="47" t="n">
        <f aca="false">Inputs!F13</f>
        <v>0</v>
      </c>
      <c r="E51" s="47" t="n">
        <f aca="false">C51-L51+D51</f>
        <v>34</v>
      </c>
      <c r="F51" s="48" t="n">
        <f aca="false">(C51-J51+D51)*Inputs!D13*(1+Inputs!E13)+K51*Inputs!D13*(1+Inputs!$F$53)</f>
        <v>9213930</v>
      </c>
      <c r="G51" s="49" t="n">
        <f aca="false">MIN(1,MAX(0,Inputs!I13+Inputs!K13*Inputs!$F$44))</f>
        <v>0</v>
      </c>
      <c r="H51" s="48" t="n">
        <f aca="false">(C51-L51)*G51*Inputs!L13</f>
        <v>0</v>
      </c>
      <c r="I51" s="48" t="n">
        <f aca="false">D51*Inputs!M13</f>
        <v>0</v>
      </c>
      <c r="J51" s="47" t="n">
        <f aca="false">MAX(0,ROUND(Inputs!N13*(1+Inputs!P13*Inputs!$G$44),0))</f>
        <v>3</v>
      </c>
      <c r="K51" s="47" t="n">
        <f aca="false">MIN(J51,IFERROR(ROUND(Inputs!$C$58*Inputs!N13/Inputs!$N$23,0),0))</f>
        <v>3</v>
      </c>
      <c r="L51" s="47" t="n">
        <f aca="false">J51-K51</f>
        <v>0</v>
      </c>
    </row>
    <row r="52" customFormat="false" ht="15" hidden="false" customHeight="false" outlineLevel="0" collapsed="false">
      <c r="B52" s="42" t="str">
        <f aca="false">Inputs!B14</f>
        <v>IV</v>
      </c>
      <c r="C52" s="47" t="n">
        <f aca="false">Inputs!C14</f>
        <v>32</v>
      </c>
      <c r="D52" s="47" t="n">
        <f aca="false">Inputs!F14</f>
        <v>0</v>
      </c>
      <c r="E52" s="47" t="n">
        <f aca="false">C52-L52+D52</f>
        <v>32</v>
      </c>
      <c r="F52" s="48" t="n">
        <f aca="false">(C52-J52+D52)*Inputs!D14*(1+Inputs!E14)+K52*Inputs!D14*(1+Inputs!$F$53)</f>
        <v>8860080</v>
      </c>
      <c r="G52" s="49" t="n">
        <f aca="false">MIN(1,MAX(0,Inputs!I14+Inputs!K14*Inputs!$F$44))</f>
        <v>0</v>
      </c>
      <c r="H52" s="48" t="n">
        <f aca="false">(C52-L52)*G52*Inputs!L14</f>
        <v>0</v>
      </c>
      <c r="I52" s="48" t="n">
        <f aca="false">D52*Inputs!M14</f>
        <v>0</v>
      </c>
      <c r="J52" s="47" t="n">
        <f aca="false">MAX(0,ROUND(Inputs!N14*(1+Inputs!P14*Inputs!$G$44),0))</f>
        <v>3</v>
      </c>
      <c r="K52" s="47" t="n">
        <f aca="false">MIN(J52,IFERROR(ROUND(Inputs!$C$58*Inputs!N14/Inputs!$N$23,0),0))</f>
        <v>3</v>
      </c>
      <c r="L52" s="47" t="n">
        <f aca="false">J52-K52</f>
        <v>0</v>
      </c>
    </row>
    <row r="53" customFormat="false" ht="15" hidden="false" customHeight="false" outlineLevel="0" collapsed="false">
      <c r="B53" s="42" t="str">
        <f aca="false">Inputs!B15</f>
        <v>V</v>
      </c>
      <c r="C53" s="47" t="n">
        <f aca="false">Inputs!C15</f>
        <v>31</v>
      </c>
      <c r="D53" s="47" t="n">
        <f aca="false">Inputs!F15</f>
        <v>1</v>
      </c>
      <c r="E53" s="47" t="n">
        <f aca="false">C53-L53+D53</f>
        <v>32</v>
      </c>
      <c r="F53" s="48" t="n">
        <f aca="false">(C53-J53+D53)*Inputs!D15*(1+Inputs!E15)+K53*Inputs!D15*(1+Inputs!$F$53)</f>
        <v>9700260</v>
      </c>
      <c r="G53" s="49" t="n">
        <f aca="false">MIN(1,MAX(0,Inputs!I15+Inputs!K15*Inputs!$F$44))</f>
        <v>0</v>
      </c>
      <c r="H53" s="48" t="n">
        <f aca="false">(C53-L53)*G53*Inputs!L15</f>
        <v>0</v>
      </c>
      <c r="I53" s="48" t="n">
        <f aca="false">D53*Inputs!M15</f>
        <v>100000</v>
      </c>
      <c r="J53" s="47" t="n">
        <f aca="false">MAX(0,ROUND(Inputs!N15*(1+Inputs!P15*Inputs!$G$44),0))</f>
        <v>3</v>
      </c>
      <c r="K53" s="47" t="n">
        <f aca="false">MIN(J53,IFERROR(ROUND(Inputs!$C$58*Inputs!N15/Inputs!$N$23,0),0))</f>
        <v>3</v>
      </c>
      <c r="L53" s="47" t="n">
        <f aca="false">J53-K53</f>
        <v>0</v>
      </c>
    </row>
    <row r="54" customFormat="false" ht="15" hidden="false" customHeight="false" outlineLevel="0" collapsed="false">
      <c r="B54" s="42" t="str">
        <f aca="false">Inputs!B16</f>
        <v>VI</v>
      </c>
      <c r="C54" s="47" t="n">
        <f aca="false">Inputs!C16</f>
        <v>31</v>
      </c>
      <c r="D54" s="47" t="n">
        <f aca="false">Inputs!F16</f>
        <v>1</v>
      </c>
      <c r="E54" s="47" t="n">
        <f aca="false">C54-L54+D54</f>
        <v>32</v>
      </c>
      <c r="F54" s="48" t="n">
        <f aca="false">(C54-J54+D54)*Inputs!D16*(1+Inputs!E16)+K54*Inputs!D16*(1+Inputs!$F$53)</f>
        <v>10330200</v>
      </c>
      <c r="G54" s="49" t="n">
        <f aca="false">MIN(1,MAX(0,Inputs!I16+Inputs!K16*Inputs!$F$44))</f>
        <v>0.3</v>
      </c>
      <c r="H54" s="48" t="n">
        <f aca="false">(C54-L54)*G54*Inputs!L16</f>
        <v>1860000</v>
      </c>
      <c r="I54" s="48" t="n">
        <f aca="false">D54*Inputs!M16</f>
        <v>100000</v>
      </c>
      <c r="J54" s="47" t="n">
        <f aca="false">MAX(0,ROUND(Inputs!N16*(1+Inputs!P16*Inputs!$G$44),0))</f>
        <v>2</v>
      </c>
      <c r="K54" s="47" t="n">
        <f aca="false">MIN(J54,IFERROR(ROUND(Inputs!$C$58*Inputs!N16/Inputs!$N$23,0),0))</f>
        <v>2</v>
      </c>
      <c r="L54" s="47" t="n">
        <f aca="false">J54-K54</f>
        <v>0</v>
      </c>
    </row>
    <row r="55" customFormat="false" ht="15" hidden="false" customHeight="false" outlineLevel="0" collapsed="false">
      <c r="B55" s="42" t="str">
        <f aca="false">Inputs!B17</f>
        <v>VII</v>
      </c>
      <c r="C55" s="47" t="n">
        <f aca="false">Inputs!C17</f>
        <v>27</v>
      </c>
      <c r="D55" s="47" t="n">
        <f aca="false">Inputs!F17</f>
        <v>3</v>
      </c>
      <c r="E55" s="47" t="n">
        <f aca="false">C55-L55+D55</f>
        <v>30</v>
      </c>
      <c r="F55" s="48" t="n">
        <f aca="false">(C55-J55+D55)*Inputs!D17*(1+Inputs!E17)+K55*Inputs!D17*(1+Inputs!$F$53)</f>
        <v>10347840</v>
      </c>
      <c r="G55" s="49" t="n">
        <f aca="false">MIN(1,MAX(0,Inputs!I17+Inputs!K17*Inputs!$F$44))</f>
        <v>0.3</v>
      </c>
      <c r="H55" s="48" t="n">
        <f aca="false">(C55-L55)*G55*Inputs!L17</f>
        <v>1620000</v>
      </c>
      <c r="I55" s="48" t="n">
        <f aca="false">D55*Inputs!M17</f>
        <v>300000</v>
      </c>
      <c r="J55" s="47" t="n">
        <f aca="false">MAX(0,ROUND(Inputs!N17*(1+Inputs!P17*Inputs!$G$44),0))</f>
        <v>1</v>
      </c>
      <c r="K55" s="47" t="n">
        <f aca="false">MIN(J55,IFERROR(ROUND(Inputs!$C$58*Inputs!N17/Inputs!$N$23,0),0))</f>
        <v>1</v>
      </c>
      <c r="L55" s="47" t="n">
        <f aca="false">J55-K55</f>
        <v>0</v>
      </c>
    </row>
    <row r="56" customFormat="false" ht="15" hidden="false" customHeight="false" outlineLevel="0" collapsed="false">
      <c r="B56" s="42" t="str">
        <f aca="false">Inputs!B18</f>
        <v>VIII</v>
      </c>
      <c r="C56" s="47" t="n">
        <f aca="false">Inputs!C18</f>
        <v>25</v>
      </c>
      <c r="D56" s="47" t="n">
        <f aca="false">Inputs!F18</f>
        <v>5</v>
      </c>
      <c r="E56" s="47" t="n">
        <f aca="false">C56-L56+D56</f>
        <v>30</v>
      </c>
      <c r="F56" s="48" t="n">
        <f aca="false">(C56-J56+D56)*Inputs!D18*(1+Inputs!E18)+K56*Inputs!D18*(1+Inputs!$F$53)</f>
        <v>10922720</v>
      </c>
      <c r="G56" s="49" t="n">
        <f aca="false">MIN(1,MAX(0,Inputs!I18+Inputs!K18*Inputs!$F$44))</f>
        <v>0.4</v>
      </c>
      <c r="H56" s="48" t="n">
        <f aca="false">(C56-L56)*G56*Inputs!L18</f>
        <v>2000000</v>
      </c>
      <c r="I56" s="48" t="n">
        <f aca="false">D56*Inputs!M18</f>
        <v>500000</v>
      </c>
      <c r="J56" s="47" t="n">
        <f aca="false">MAX(0,ROUND(Inputs!N18*(1+Inputs!P18*Inputs!$G$44),0))</f>
        <v>1</v>
      </c>
      <c r="K56" s="47" t="n">
        <f aca="false">MIN(J56,IFERROR(ROUND(Inputs!$C$58*Inputs!N18/Inputs!$N$23,0),0))</f>
        <v>1</v>
      </c>
      <c r="L56" s="47" t="n">
        <f aca="false">J56-K56</f>
        <v>0</v>
      </c>
    </row>
    <row r="57" customFormat="false" ht="15" hidden="false" customHeight="false" outlineLevel="0" collapsed="false">
      <c r="B57" s="42" t="str">
        <f aca="false">Inputs!B19</f>
        <v>IX</v>
      </c>
      <c r="C57" s="47" t="n">
        <f aca="false">Inputs!C19</f>
        <v>26</v>
      </c>
      <c r="D57" s="47" t="n">
        <f aca="false">Inputs!F19</f>
        <v>4</v>
      </c>
      <c r="E57" s="47" t="n">
        <f aca="false">C57-L57+D57</f>
        <v>30</v>
      </c>
      <c r="F57" s="48" t="n">
        <f aca="false">(C57-J57+D57)*Inputs!D19*(1+Inputs!E19)+K57*Inputs!D19*(1+Inputs!$F$53)</f>
        <v>11461670</v>
      </c>
      <c r="G57" s="49" t="n">
        <f aca="false">MIN(1,MAX(0,Inputs!I19+Inputs!K19*Inputs!$F$44))</f>
        <v>0.4</v>
      </c>
      <c r="H57" s="48" t="n">
        <f aca="false">(C57-L57)*G57*Inputs!L19</f>
        <v>2080000</v>
      </c>
      <c r="I57" s="48" t="n">
        <f aca="false">D57*Inputs!M19</f>
        <v>400000</v>
      </c>
      <c r="J57" s="47" t="n">
        <f aca="false">MAX(0,ROUND(Inputs!N19*(1+Inputs!P19*Inputs!$G$44),0))</f>
        <v>1</v>
      </c>
      <c r="K57" s="47" t="n">
        <f aca="false">MIN(J57,IFERROR(ROUND(Inputs!$C$58*Inputs!N19/Inputs!$N$23,0),0))</f>
        <v>1</v>
      </c>
      <c r="L57" s="47" t="n">
        <f aca="false">J57-K57</f>
        <v>0</v>
      </c>
    </row>
    <row r="58" customFormat="false" ht="15" hidden="false" customHeight="false" outlineLevel="0" collapsed="false">
      <c r="B58" s="42" t="str">
        <f aca="false">Inputs!B20</f>
        <v>X</v>
      </c>
      <c r="C58" s="47" t="n">
        <f aca="false">Inputs!C20</f>
        <v>30</v>
      </c>
      <c r="D58" s="47" t="n">
        <f aca="false">Inputs!F20</f>
        <v>0</v>
      </c>
      <c r="E58" s="47" t="n">
        <f aca="false">C58-L58+D58</f>
        <v>30</v>
      </c>
      <c r="F58" s="48" t="n">
        <f aca="false">(C58-J58+D58)*Inputs!D20*(1+Inputs!E20)+K58*Inputs!D20*(1+Inputs!$F$53)</f>
        <v>11952000</v>
      </c>
      <c r="G58" s="49" t="n">
        <f aca="false">MIN(1,MAX(0,Inputs!I20+Inputs!K20*Inputs!$F$44))</f>
        <v>0.3</v>
      </c>
      <c r="H58" s="48" t="n">
        <f aca="false">(C58-L58)*G58*Inputs!L20</f>
        <v>1800000</v>
      </c>
      <c r="I58" s="48" t="n">
        <f aca="false">D58*Inputs!M20</f>
        <v>0</v>
      </c>
      <c r="J58" s="47" t="n">
        <f aca="false">MAX(0,ROUND(Inputs!N20*(1+Inputs!P20*Inputs!$G$44),0))</f>
        <v>0</v>
      </c>
      <c r="K58" s="47" t="n">
        <f aca="false">MIN(J58,IFERROR(ROUND(Inputs!$C$58*Inputs!N20/Inputs!$N$23,0),0))</f>
        <v>0</v>
      </c>
      <c r="L58" s="47" t="n">
        <f aca="false">J58-K58</f>
        <v>0</v>
      </c>
    </row>
    <row r="59" customFormat="false" ht="15" hidden="false" customHeight="false" outlineLevel="0" collapsed="false">
      <c r="B59" s="42" t="str">
        <f aca="false">Inputs!B21</f>
        <v>AS</v>
      </c>
      <c r="C59" s="47" t="n">
        <f aca="false">Inputs!C21</f>
        <v>26</v>
      </c>
      <c r="D59" s="47" t="n">
        <f aca="false">Inputs!F21</f>
        <v>34</v>
      </c>
      <c r="E59" s="47" t="n">
        <f aca="false">C59-L59+D59</f>
        <v>60</v>
      </c>
      <c r="F59" s="48" t="n">
        <f aca="false">(C59-J59+D59)*Inputs!D21*(1+Inputs!E21)+K59*Inputs!D21*(1+Inputs!$F$53)</f>
        <v>21168000</v>
      </c>
      <c r="G59" s="49" t="n">
        <f aca="false">MIN(1,MAX(0,Inputs!I21+Inputs!K21*Inputs!$F$44))</f>
        <v>0.2</v>
      </c>
      <c r="H59" s="48" t="n">
        <f aca="false">(C59-L59)*G59*Inputs!L21</f>
        <v>1040000</v>
      </c>
      <c r="I59" s="48" t="n">
        <f aca="false">D59*Inputs!M21</f>
        <v>3400000</v>
      </c>
      <c r="J59" s="47" t="n">
        <f aca="false">MAX(0,ROUND(Inputs!N21*(1+Inputs!P21*Inputs!$G$44),0))</f>
        <v>0</v>
      </c>
      <c r="K59" s="47" t="n">
        <f aca="false">MIN(J59,IFERROR(ROUND(Inputs!$C$58*Inputs!N21/Inputs!$N$23,0),0))</f>
        <v>0</v>
      </c>
      <c r="L59" s="47" t="n">
        <f aca="false">J59-K59</f>
        <v>0</v>
      </c>
    </row>
    <row r="60" customFormat="false" ht="15" hidden="false" customHeight="false" outlineLevel="0" collapsed="false">
      <c r="B60" s="42" t="str">
        <f aca="false">Inputs!B22</f>
        <v>A2</v>
      </c>
      <c r="C60" s="47" t="n">
        <f aca="false">Inputs!C22</f>
        <v>29</v>
      </c>
      <c r="D60" s="47" t="n">
        <f aca="false">Inputs!F22</f>
        <v>1</v>
      </c>
      <c r="E60" s="47" t="n">
        <f aca="false">C60-L60+D60</f>
        <v>30</v>
      </c>
      <c r="F60" s="48" t="n">
        <f aca="false">(C60-J60+D60)*Inputs!D22*(1+Inputs!E22)+K60*Inputs!D22*(1+Inputs!$F$53)</f>
        <v>11016000</v>
      </c>
      <c r="G60" s="49" t="n">
        <f aca="false">MIN(1,MAX(0,Inputs!I22+Inputs!K22*Inputs!$F$44))</f>
        <v>0</v>
      </c>
      <c r="H60" s="48" t="n">
        <f aca="false">(C60-L60)*G60*Inputs!L22</f>
        <v>0</v>
      </c>
      <c r="I60" s="48" t="n">
        <f aca="false">D60*Inputs!M22</f>
        <v>100000</v>
      </c>
      <c r="J60" s="47" t="n">
        <f aca="false">MAX(0,ROUND(Inputs!N22*(1+Inputs!P22*Inputs!$G$44),0))</f>
        <v>0</v>
      </c>
      <c r="K60" s="47" t="n">
        <f aca="false">MIN(J60,IFERROR(ROUND(Inputs!$C$58*Inputs!N22/Inputs!$N$23,0),0))</f>
        <v>0</v>
      </c>
      <c r="L60" s="47" t="n">
        <f aca="false">J60-K60</f>
        <v>0</v>
      </c>
    </row>
    <row r="61" customFormat="false" ht="15" hidden="false" customHeight="false" outlineLevel="0" collapsed="false">
      <c r="B61" s="23" t="s">
        <v>62</v>
      </c>
      <c r="C61" s="44" t="n">
        <f aca="false">SUM(C46:C60)</f>
        <v>366</v>
      </c>
      <c r="D61" s="44" t="n">
        <f aca="false">SUM(D46:D60)</f>
        <v>104</v>
      </c>
      <c r="E61" s="44" t="n">
        <f aca="false">SUM(E46:E60)</f>
        <v>470</v>
      </c>
      <c r="F61" s="45" t="n">
        <f aca="false">SUM(F46:F60)</f>
        <v>143879330</v>
      </c>
      <c r="G61" s="46"/>
      <c r="H61" s="45" t="n">
        <f aca="false">SUM(H46:H60)</f>
        <v>10400000</v>
      </c>
      <c r="I61" s="45" t="n">
        <f aca="false">SUM(I46:I60)</f>
        <v>10400000</v>
      </c>
      <c r="J61" s="44" t="n">
        <f aca="false">SUM(J46:J60)</f>
        <v>17</v>
      </c>
      <c r="K61" s="44" t="n">
        <f aca="false">SUM(K46:K60)</f>
        <v>17</v>
      </c>
      <c r="L61" s="44" t="n">
        <f aca="false">SUM(L46:L60)</f>
        <v>0</v>
      </c>
    </row>
    <row r="64" customFormat="false" ht="15" hidden="false" customHeight="false" outlineLevel="0" collapsed="false">
      <c r="B64" s="11" t="s">
        <v>141</v>
      </c>
      <c r="C64" s="11"/>
      <c r="D64" s="11"/>
      <c r="E64" s="11"/>
      <c r="F64" s="11"/>
      <c r="G64" s="11"/>
      <c r="H64" s="11"/>
      <c r="I64" s="11"/>
    </row>
    <row r="65" customFormat="false" ht="27.75" hidden="false" customHeight="true" outlineLevel="0" collapsed="false">
      <c r="B65" s="12" t="s">
        <v>32</v>
      </c>
      <c r="C65" s="12" t="s">
        <v>33</v>
      </c>
      <c r="D65" s="12" t="s">
        <v>142</v>
      </c>
      <c r="E65" s="12" t="s">
        <v>143</v>
      </c>
      <c r="F65" s="12" t="s">
        <v>144</v>
      </c>
      <c r="G65" s="12" t="s">
        <v>145</v>
      </c>
      <c r="H65" s="12" t="s">
        <v>146</v>
      </c>
      <c r="I65" s="12" t="s">
        <v>147</v>
      </c>
    </row>
    <row r="66" customFormat="false" ht="15" hidden="false" customHeight="false" outlineLevel="0" collapsed="false">
      <c r="B66" s="42" t="str">
        <f aca="false">Inputs!B8</f>
        <v>Pre-KG</v>
      </c>
      <c r="C66" s="47" t="n">
        <f aca="false">Inputs!C8</f>
        <v>0</v>
      </c>
      <c r="D66" s="49" t="n">
        <f aca="false">Inputs!E8</f>
        <v>0</v>
      </c>
      <c r="E66" s="48" t="n">
        <f aca="false">Inputs!D8</f>
        <v>0</v>
      </c>
      <c r="F66" s="49" t="n">
        <f aca="false">IFERROR(D66/(1+D66),0)</f>
        <v>0</v>
      </c>
      <c r="G66" s="47" t="n">
        <f aca="false">ROUND(C66*F66,0)</f>
        <v>0</v>
      </c>
      <c r="H66" s="48" t="n">
        <f aca="false">C66*E66</f>
        <v>0</v>
      </c>
      <c r="I66" s="48" t="n">
        <f aca="false">(C66-G66)*E66*(1+D66)</f>
        <v>0</v>
      </c>
    </row>
    <row r="67" customFormat="false" ht="15" hidden="false" customHeight="false" outlineLevel="0" collapsed="false">
      <c r="B67" s="42" t="str">
        <f aca="false">Inputs!B9</f>
        <v>LKG</v>
      </c>
      <c r="C67" s="47" t="n">
        <f aca="false">Inputs!C9</f>
        <v>4</v>
      </c>
      <c r="D67" s="49" t="n">
        <f aca="false">Inputs!E9</f>
        <v>0</v>
      </c>
      <c r="E67" s="48" t="n">
        <f aca="false">Inputs!D9</f>
        <v>210000</v>
      </c>
      <c r="F67" s="49" t="n">
        <f aca="false">IFERROR(D67/(1+D67),0)</f>
        <v>0</v>
      </c>
      <c r="G67" s="47" t="n">
        <f aca="false">ROUND(C67*F67,0)</f>
        <v>0</v>
      </c>
      <c r="H67" s="48" t="n">
        <f aca="false">C67*E67</f>
        <v>840000</v>
      </c>
      <c r="I67" s="48" t="n">
        <f aca="false">(C67-G67)*E67*(1+D67)</f>
        <v>840000</v>
      </c>
    </row>
    <row r="68" customFormat="false" ht="15" hidden="false" customHeight="false" outlineLevel="0" collapsed="false">
      <c r="B68" s="42" t="str">
        <f aca="false">Inputs!B10</f>
        <v>UKG</v>
      </c>
      <c r="C68" s="47" t="n">
        <f aca="false">Inputs!C10</f>
        <v>15</v>
      </c>
      <c r="D68" s="49" t="n">
        <f aca="false">Inputs!E10</f>
        <v>0</v>
      </c>
      <c r="E68" s="48" t="n">
        <f aca="false">Inputs!D10</f>
        <v>201000</v>
      </c>
      <c r="F68" s="49" t="n">
        <f aca="false">IFERROR(D68/(1+D68),0)</f>
        <v>0</v>
      </c>
      <c r="G68" s="47" t="n">
        <f aca="false">ROUND(C68*F68,0)</f>
        <v>0</v>
      </c>
      <c r="H68" s="48" t="n">
        <f aca="false">C68*E68</f>
        <v>3015000</v>
      </c>
      <c r="I68" s="48" t="n">
        <f aca="false">(C68-G68)*E68*(1+D68)</f>
        <v>3015000</v>
      </c>
    </row>
    <row r="69" customFormat="false" ht="15" hidden="false" customHeight="false" outlineLevel="0" collapsed="false">
      <c r="B69" s="42" t="str">
        <f aca="false">Inputs!B11</f>
        <v>I</v>
      </c>
      <c r="C69" s="47" t="n">
        <f aca="false">Inputs!C11</f>
        <v>23</v>
      </c>
      <c r="D69" s="49" t="n">
        <f aca="false">Inputs!E11</f>
        <v>0</v>
      </c>
      <c r="E69" s="48" t="n">
        <f aca="false">Inputs!D11</f>
        <v>217000</v>
      </c>
      <c r="F69" s="49" t="n">
        <f aca="false">IFERROR(D69/(1+D69),0)</f>
        <v>0</v>
      </c>
      <c r="G69" s="47" t="n">
        <f aca="false">ROUND(C69*F69,0)</f>
        <v>0</v>
      </c>
      <c r="H69" s="48" t="n">
        <f aca="false">C69*E69</f>
        <v>4991000</v>
      </c>
      <c r="I69" s="48" t="n">
        <f aca="false">(C69-G69)*E69*(1+D69)</f>
        <v>4991000</v>
      </c>
    </row>
    <row r="70" customFormat="false" ht="15" hidden="false" customHeight="false" outlineLevel="0" collapsed="false">
      <c r="B70" s="42" t="str">
        <f aca="false">Inputs!B12</f>
        <v>II</v>
      </c>
      <c r="C70" s="47" t="n">
        <f aca="false">Inputs!C12</f>
        <v>33</v>
      </c>
      <c r="D70" s="49" t="n">
        <f aca="false">Inputs!E12</f>
        <v>0.2</v>
      </c>
      <c r="E70" s="48" t="n">
        <f aca="false">Inputs!D12</f>
        <v>217000</v>
      </c>
      <c r="F70" s="49" t="n">
        <f aca="false">IFERROR(D70/(1+D70),0)</f>
        <v>0.166666666666667</v>
      </c>
      <c r="G70" s="47" t="n">
        <f aca="false">ROUND(C70*F70,0)</f>
        <v>6</v>
      </c>
      <c r="H70" s="48" t="n">
        <f aca="false">C70*E70</f>
        <v>7161000</v>
      </c>
      <c r="I70" s="48" t="n">
        <f aca="false">(C70-G70)*E70*(1+D70)</f>
        <v>7030800</v>
      </c>
    </row>
    <row r="71" customFormat="false" ht="15" hidden="false" customHeight="false" outlineLevel="0" collapsed="false">
      <c r="B71" s="42" t="str">
        <f aca="false">Inputs!B13</f>
        <v>III</v>
      </c>
      <c r="C71" s="47" t="n">
        <f aca="false">Inputs!C13</f>
        <v>34</v>
      </c>
      <c r="D71" s="49" t="n">
        <f aca="false">Inputs!E13</f>
        <v>0.2</v>
      </c>
      <c r="E71" s="48" t="n">
        <f aca="false">Inputs!D13</f>
        <v>227000</v>
      </c>
      <c r="F71" s="49" t="n">
        <f aca="false">IFERROR(D71/(1+D71),0)</f>
        <v>0.166666666666667</v>
      </c>
      <c r="G71" s="47" t="n">
        <f aca="false">ROUND(C71*F71,0)</f>
        <v>6</v>
      </c>
      <c r="H71" s="48" t="n">
        <f aca="false">C71*E71</f>
        <v>7718000</v>
      </c>
      <c r="I71" s="48" t="n">
        <f aca="false">(C71-G71)*E71*(1+D71)</f>
        <v>7627200</v>
      </c>
    </row>
    <row r="72" customFormat="false" ht="15" hidden="false" customHeight="false" outlineLevel="0" collapsed="false">
      <c r="B72" s="42" t="str">
        <f aca="false">Inputs!B14</f>
        <v>IV</v>
      </c>
      <c r="C72" s="47" t="n">
        <f aca="false">Inputs!C14</f>
        <v>32</v>
      </c>
      <c r="D72" s="49" t="n">
        <f aca="false">Inputs!E14</f>
        <v>0.2</v>
      </c>
      <c r="E72" s="48" t="n">
        <f aca="false">Inputs!D14</f>
        <v>232000</v>
      </c>
      <c r="F72" s="49" t="n">
        <f aca="false">IFERROR(D72/(1+D72),0)</f>
        <v>0.166666666666667</v>
      </c>
      <c r="G72" s="47" t="n">
        <f aca="false">ROUND(C72*F72,0)</f>
        <v>5</v>
      </c>
      <c r="H72" s="48" t="n">
        <f aca="false">C72*E72</f>
        <v>7424000</v>
      </c>
      <c r="I72" s="48" t="n">
        <f aca="false">(C72-G72)*E72*(1+D72)</f>
        <v>7516800</v>
      </c>
    </row>
    <row r="73" customFormat="false" ht="15" hidden="false" customHeight="false" outlineLevel="0" collapsed="false">
      <c r="B73" s="42" t="str">
        <f aca="false">Inputs!B15</f>
        <v>V</v>
      </c>
      <c r="C73" s="47" t="n">
        <f aca="false">Inputs!C15</f>
        <v>31</v>
      </c>
      <c r="D73" s="49" t="n">
        <f aca="false">Inputs!E15</f>
        <v>0.2</v>
      </c>
      <c r="E73" s="48" t="n">
        <f aca="false">Inputs!D15</f>
        <v>254000</v>
      </c>
      <c r="F73" s="49" t="n">
        <f aca="false">IFERROR(D73/(1+D73),0)</f>
        <v>0.166666666666667</v>
      </c>
      <c r="G73" s="47" t="n">
        <f aca="false">ROUND(C73*F73,0)</f>
        <v>5</v>
      </c>
      <c r="H73" s="48" t="n">
        <f aca="false">C73*E73</f>
        <v>7874000</v>
      </c>
      <c r="I73" s="48" t="n">
        <f aca="false">(C73-G73)*E73*(1+D73)</f>
        <v>7924800</v>
      </c>
    </row>
    <row r="74" customFormat="false" ht="15" hidden="false" customHeight="false" outlineLevel="0" collapsed="false">
      <c r="B74" s="42" t="str">
        <f aca="false">Inputs!B16</f>
        <v>VI</v>
      </c>
      <c r="C74" s="47" t="n">
        <f aca="false">Inputs!C16</f>
        <v>31</v>
      </c>
      <c r="D74" s="49" t="n">
        <f aca="false">Inputs!E16</f>
        <v>0.2</v>
      </c>
      <c r="E74" s="48" t="n">
        <f aca="false">Inputs!D16</f>
        <v>270000</v>
      </c>
      <c r="F74" s="49" t="n">
        <f aca="false">IFERROR(D74/(1+D74),0)</f>
        <v>0.166666666666667</v>
      </c>
      <c r="G74" s="47" t="n">
        <f aca="false">ROUND(C74*F74,0)</f>
        <v>5</v>
      </c>
      <c r="H74" s="48" t="n">
        <f aca="false">C74*E74</f>
        <v>8370000</v>
      </c>
      <c r="I74" s="48" t="n">
        <f aca="false">(C74-G74)*E74*(1+D74)</f>
        <v>8424000</v>
      </c>
    </row>
    <row r="75" customFormat="false" ht="15" hidden="false" customHeight="false" outlineLevel="0" collapsed="false">
      <c r="B75" s="42" t="str">
        <f aca="false">Inputs!B17</f>
        <v>VII</v>
      </c>
      <c r="C75" s="47" t="n">
        <f aca="false">Inputs!C17</f>
        <v>27</v>
      </c>
      <c r="D75" s="49" t="n">
        <f aca="false">Inputs!E17</f>
        <v>0.2</v>
      </c>
      <c r="E75" s="48" t="n">
        <f aca="false">Inputs!D17</f>
        <v>288000</v>
      </c>
      <c r="F75" s="49" t="n">
        <f aca="false">IFERROR(D75/(1+D75),0)</f>
        <v>0.166666666666667</v>
      </c>
      <c r="G75" s="47" t="n">
        <f aca="false">ROUND(C75*F75,0)</f>
        <v>5</v>
      </c>
      <c r="H75" s="48" t="n">
        <f aca="false">C75*E75</f>
        <v>7776000</v>
      </c>
      <c r="I75" s="48" t="n">
        <f aca="false">(C75-G75)*E75*(1+D75)</f>
        <v>7603200</v>
      </c>
    </row>
    <row r="76" customFormat="false" ht="15" hidden="false" customHeight="false" outlineLevel="0" collapsed="false">
      <c r="B76" s="42" t="str">
        <f aca="false">Inputs!B18</f>
        <v>VIII</v>
      </c>
      <c r="C76" s="47" t="n">
        <f aca="false">Inputs!C18</f>
        <v>25</v>
      </c>
      <c r="D76" s="49" t="n">
        <f aca="false">Inputs!E18</f>
        <v>0.2</v>
      </c>
      <c r="E76" s="48" t="n">
        <f aca="false">Inputs!D18</f>
        <v>304000</v>
      </c>
      <c r="F76" s="49" t="n">
        <f aca="false">IFERROR(D76/(1+D76),0)</f>
        <v>0.166666666666667</v>
      </c>
      <c r="G76" s="47" t="n">
        <f aca="false">ROUND(C76*F76,0)</f>
        <v>4</v>
      </c>
      <c r="H76" s="48" t="n">
        <f aca="false">C76*E76</f>
        <v>7600000</v>
      </c>
      <c r="I76" s="48" t="n">
        <f aca="false">(C76-G76)*E76*(1+D76)</f>
        <v>7660800</v>
      </c>
    </row>
    <row r="77" customFormat="false" ht="15" hidden="false" customHeight="false" outlineLevel="0" collapsed="false">
      <c r="B77" s="42" t="str">
        <f aca="false">Inputs!B19</f>
        <v>IX</v>
      </c>
      <c r="C77" s="47" t="n">
        <f aca="false">Inputs!C19</f>
        <v>26</v>
      </c>
      <c r="D77" s="49" t="n">
        <f aca="false">Inputs!E19</f>
        <v>0.2</v>
      </c>
      <c r="E77" s="48" t="n">
        <f aca="false">Inputs!D19</f>
        <v>319000</v>
      </c>
      <c r="F77" s="49" t="n">
        <f aca="false">IFERROR(D77/(1+D77),0)</f>
        <v>0.166666666666667</v>
      </c>
      <c r="G77" s="47" t="n">
        <f aca="false">ROUND(C77*F77,0)</f>
        <v>4</v>
      </c>
      <c r="H77" s="48" t="n">
        <f aca="false">C77*E77</f>
        <v>8294000</v>
      </c>
      <c r="I77" s="48" t="n">
        <f aca="false">(C77-G77)*E77*(1+D77)</f>
        <v>8421600</v>
      </c>
    </row>
    <row r="78" customFormat="false" ht="15" hidden="false" customHeight="false" outlineLevel="0" collapsed="false">
      <c r="B78" s="42" t="str">
        <f aca="false">Inputs!B20</f>
        <v>X</v>
      </c>
      <c r="C78" s="47" t="n">
        <f aca="false">Inputs!C20</f>
        <v>30</v>
      </c>
      <c r="D78" s="49" t="n">
        <f aca="false">Inputs!E20</f>
        <v>0.2</v>
      </c>
      <c r="E78" s="48" t="n">
        <f aca="false">Inputs!D20</f>
        <v>332000</v>
      </c>
      <c r="F78" s="49" t="n">
        <f aca="false">IFERROR(D78/(1+D78),0)</f>
        <v>0.166666666666667</v>
      </c>
      <c r="G78" s="47" t="n">
        <f aca="false">ROUND(C78*F78,0)</f>
        <v>5</v>
      </c>
      <c r="H78" s="48" t="n">
        <f aca="false">C78*E78</f>
        <v>9960000</v>
      </c>
      <c r="I78" s="48" t="n">
        <f aca="false">(C78-G78)*E78*(1+D78)</f>
        <v>9960000</v>
      </c>
    </row>
    <row r="79" customFormat="false" ht="15" hidden="false" customHeight="false" outlineLevel="0" collapsed="false">
      <c r="B79" s="42" t="str">
        <f aca="false">Inputs!B21</f>
        <v>AS</v>
      </c>
      <c r="C79" s="47" t="n">
        <f aca="false">Inputs!C21</f>
        <v>26</v>
      </c>
      <c r="D79" s="49" t="n">
        <f aca="false">Inputs!E21</f>
        <v>0.2</v>
      </c>
      <c r="E79" s="48" t="n">
        <f aca="false">Inputs!D21</f>
        <v>294000</v>
      </c>
      <c r="F79" s="49" t="n">
        <f aca="false">IFERROR(D79/(1+D79),0)</f>
        <v>0.166666666666667</v>
      </c>
      <c r="G79" s="47" t="n">
        <f aca="false">ROUND(C79*F79,0)</f>
        <v>4</v>
      </c>
      <c r="H79" s="48" t="n">
        <f aca="false">C79*E79</f>
        <v>7644000</v>
      </c>
      <c r="I79" s="48" t="n">
        <f aca="false">(C79-G79)*E79*(1+D79)</f>
        <v>7761600</v>
      </c>
    </row>
    <row r="80" customFormat="false" ht="15" hidden="false" customHeight="false" outlineLevel="0" collapsed="false">
      <c r="B80" s="42" t="str">
        <f aca="false">Inputs!B22</f>
        <v>A2</v>
      </c>
      <c r="C80" s="47" t="n">
        <f aca="false">Inputs!C22</f>
        <v>29</v>
      </c>
      <c r="D80" s="49" t="n">
        <f aca="false">Inputs!E22</f>
        <v>0.2</v>
      </c>
      <c r="E80" s="48" t="n">
        <f aca="false">Inputs!D22</f>
        <v>306000</v>
      </c>
      <c r="F80" s="49" t="n">
        <f aca="false">IFERROR(D80/(1+D80),0)</f>
        <v>0.166666666666667</v>
      </c>
      <c r="G80" s="47" t="n">
        <f aca="false">ROUND(C80*F80,0)</f>
        <v>5</v>
      </c>
      <c r="H80" s="48" t="n">
        <f aca="false">C80*E80</f>
        <v>8874000</v>
      </c>
      <c r="I80" s="48" t="n">
        <f aca="false">(C80-G80)*E80*(1+D80)</f>
        <v>8812800</v>
      </c>
    </row>
    <row r="81" customFormat="false" ht="15" hidden="false" customHeight="false" outlineLevel="0" collapsed="false">
      <c r="B81" s="23" t="s">
        <v>62</v>
      </c>
      <c r="C81" s="44" t="n">
        <f aca="false">SUM(C66:C80)</f>
        <v>366</v>
      </c>
      <c r="D81" s="46"/>
      <c r="E81" s="46"/>
      <c r="F81" s="46"/>
      <c r="G81" s="44" t="n">
        <f aca="false">SUM(G66:G80)</f>
        <v>54</v>
      </c>
      <c r="H81" s="45" t="n">
        <f aca="false">SUM(H66:H80)</f>
        <v>97541000</v>
      </c>
      <c r="I81" s="45" t="n">
        <f aca="false">SUM(I66:I80)</f>
        <v>97589600</v>
      </c>
    </row>
    <row r="84" customFormat="false" ht="15" hidden="false" customHeight="false" outlineLevel="0" collapsed="false">
      <c r="B84" s="11" t="s">
        <v>148</v>
      </c>
      <c r="C84" s="11"/>
      <c r="D84" s="11"/>
      <c r="E84" s="11"/>
    </row>
    <row r="85" customFormat="false" ht="15" hidden="false" customHeight="false" outlineLevel="0" collapsed="false">
      <c r="B85" s="37" t="s">
        <v>105</v>
      </c>
      <c r="C85" s="37" t="s">
        <v>85</v>
      </c>
      <c r="D85" s="37" t="s">
        <v>28</v>
      </c>
      <c r="E85" s="37" t="s">
        <v>86</v>
      </c>
    </row>
    <row r="86" customFormat="false" ht="15" hidden="false" customHeight="false" outlineLevel="0" collapsed="false">
      <c r="B86" s="21" t="s">
        <v>106</v>
      </c>
      <c r="C86" s="47" t="n">
        <f aca="false">D21</f>
        <v>48</v>
      </c>
      <c r="D86" s="47" t="n">
        <f aca="false">D41</f>
        <v>68</v>
      </c>
      <c r="E86" s="47" t="n">
        <f aca="false">D61</f>
        <v>104</v>
      </c>
    </row>
    <row r="87" customFormat="false" ht="15" hidden="false" customHeight="false" outlineLevel="0" collapsed="false">
      <c r="B87" s="21" t="s">
        <v>107</v>
      </c>
      <c r="C87" s="47" t="n">
        <f aca="false">J21</f>
        <v>45</v>
      </c>
      <c r="D87" s="47" t="n">
        <f aca="false">J41</f>
        <v>28</v>
      </c>
      <c r="E87" s="47" t="n">
        <f aca="false">J61</f>
        <v>17</v>
      </c>
    </row>
    <row r="88" customFormat="false" ht="15" hidden="false" customHeight="false" outlineLevel="0" collapsed="false">
      <c r="B88" s="21" t="s">
        <v>108</v>
      </c>
      <c r="C88" s="47" t="n">
        <f aca="false">K21</f>
        <v>17</v>
      </c>
      <c r="D88" s="47" t="n">
        <f aca="false">K41</f>
        <v>28</v>
      </c>
      <c r="E88" s="47" t="n">
        <f aca="false">K61</f>
        <v>17</v>
      </c>
    </row>
    <row r="89" customFormat="false" ht="15" hidden="false" customHeight="false" outlineLevel="0" collapsed="false">
      <c r="B89" s="23" t="s">
        <v>109</v>
      </c>
      <c r="C89" s="44" t="n">
        <f aca="false">L21</f>
        <v>28</v>
      </c>
      <c r="D89" s="44" t="n">
        <f aca="false">L41</f>
        <v>0</v>
      </c>
      <c r="E89" s="44" t="n">
        <f aca="false">L61</f>
        <v>0</v>
      </c>
    </row>
    <row r="90" customFormat="false" ht="15" hidden="false" customHeight="false" outlineLevel="0" collapsed="false">
      <c r="B90" s="21" t="s">
        <v>110</v>
      </c>
      <c r="C90" s="47" t="n">
        <f aca="false">E21</f>
        <v>386</v>
      </c>
      <c r="D90" s="47" t="n">
        <f aca="false">E41</f>
        <v>434</v>
      </c>
      <c r="E90" s="47" t="n">
        <f aca="false">E61</f>
        <v>470</v>
      </c>
    </row>
    <row r="91" customFormat="false" ht="15" hidden="false" customHeight="false" outlineLevel="0" collapsed="false">
      <c r="B91" s="21" t="s">
        <v>111</v>
      </c>
      <c r="C91" s="48" t="n">
        <f aca="false">F21</f>
        <v>119411930</v>
      </c>
      <c r="D91" s="48" t="n">
        <f aca="false">F41</f>
        <v>133098190</v>
      </c>
      <c r="E91" s="48" t="n">
        <f aca="false">F61</f>
        <v>143879330</v>
      </c>
    </row>
    <row r="92" customFormat="false" ht="15" hidden="false" customHeight="false" outlineLevel="0" collapsed="false">
      <c r="B92" s="21" t="s">
        <v>149</v>
      </c>
      <c r="C92" s="43" t="n">
        <f aca="false">Inputs!$C$42</f>
        <v>0.92</v>
      </c>
      <c r="D92" s="43" t="n">
        <f aca="false">Inputs!$C$43</f>
        <v>0.97</v>
      </c>
      <c r="E92" s="43" t="n">
        <f aca="false">Inputs!$C$44</f>
        <v>0.99</v>
      </c>
    </row>
    <row r="93" customFormat="false" ht="15" hidden="false" customHeight="false" outlineLevel="0" collapsed="false">
      <c r="B93" s="21" t="s">
        <v>112</v>
      </c>
      <c r="C93" s="48" t="n">
        <f aca="false">C91*C92</f>
        <v>109858975.6</v>
      </c>
      <c r="D93" s="48" t="n">
        <f aca="false">D91*D92</f>
        <v>129105244.3</v>
      </c>
      <c r="E93" s="48" t="n">
        <f aca="false">E91*E92</f>
        <v>142440536.7</v>
      </c>
    </row>
    <row r="94" customFormat="false" ht="15" hidden="false" customHeight="false" outlineLevel="0" collapsed="false">
      <c r="B94" s="21" t="s">
        <v>113</v>
      </c>
      <c r="C94" s="48" t="n">
        <f aca="false">H21</f>
        <v>3580000</v>
      </c>
      <c r="D94" s="48" t="n">
        <f aca="false">H41</f>
        <v>7100000</v>
      </c>
      <c r="E94" s="48" t="n">
        <f aca="false">H61</f>
        <v>10400000</v>
      </c>
    </row>
    <row r="95" customFormat="false" ht="15" hidden="false" customHeight="false" outlineLevel="0" collapsed="false">
      <c r="B95" s="21" t="s">
        <v>114</v>
      </c>
      <c r="C95" s="48" t="n">
        <f aca="false">I21</f>
        <v>4800000</v>
      </c>
      <c r="D95" s="48" t="n">
        <f aca="false">I41</f>
        <v>6800000</v>
      </c>
      <c r="E95" s="48" t="n">
        <f aca="false">I61</f>
        <v>10400000</v>
      </c>
    </row>
    <row r="96" customFormat="false" ht="15" hidden="false" customHeight="false" outlineLevel="0" collapsed="false">
      <c r="B96" s="23" t="s">
        <v>115</v>
      </c>
      <c r="C96" s="45" t="n">
        <f aca="false">C93+C94+C95</f>
        <v>118238975.6</v>
      </c>
      <c r="D96" s="45" t="n">
        <f aca="false">D93+D94+D95</f>
        <v>143005244.3</v>
      </c>
      <c r="E96" s="45" t="n">
        <f aca="false">E93+E94+E95</f>
        <v>163240536.7</v>
      </c>
    </row>
    <row r="98" customFormat="false" ht="15" hidden="false" customHeight="false" outlineLevel="0" collapsed="false">
      <c r="B98" s="21" t="s">
        <v>150</v>
      </c>
      <c r="C98" s="40" t="n">
        <f aca="false">Inputs!$C$37</f>
        <v>117160418.333333</v>
      </c>
      <c r="D98" s="40" t="n">
        <f aca="false">Inputs!$C$37</f>
        <v>117160418.333333</v>
      </c>
      <c r="E98" s="40" t="n">
        <f aca="false">Inputs!$C$37</f>
        <v>117160418.333333</v>
      </c>
    </row>
    <row r="99" customFormat="false" ht="15" hidden="false" customHeight="false" outlineLevel="0" collapsed="false">
      <c r="B99" s="21" t="s">
        <v>151</v>
      </c>
      <c r="C99" s="43" t="n">
        <f aca="false">Inputs!$D$42</f>
        <v>0.03</v>
      </c>
      <c r="D99" s="43" t="n">
        <f aca="false">Inputs!$D$43</f>
        <v>0</v>
      </c>
      <c r="E99" s="43" t="n">
        <f aca="false">Inputs!$D$44</f>
        <v>-0.02</v>
      </c>
    </row>
    <row r="100" customFormat="false" ht="15" hidden="false" customHeight="false" outlineLevel="0" collapsed="false">
      <c r="B100" s="23" t="s">
        <v>116</v>
      </c>
      <c r="C100" s="45" t="n">
        <f aca="false">C98*(1+C99)</f>
        <v>120675230.883333</v>
      </c>
      <c r="D100" s="45" t="n">
        <f aca="false">D98*(1+D99)</f>
        <v>117160418.333333</v>
      </c>
      <c r="E100" s="45" t="n">
        <f aca="false">E98*(1+E99)</f>
        <v>114817209.966667</v>
      </c>
    </row>
    <row r="101" customFormat="false" ht="15" hidden="false" customHeight="false" outlineLevel="0" collapsed="false">
      <c r="B101" s="23" t="s">
        <v>117</v>
      </c>
      <c r="C101" s="45" t="n">
        <f aca="false">C96-C100</f>
        <v>-2436255.28333332</v>
      </c>
      <c r="D101" s="45" t="n">
        <f aca="false">D96-D100</f>
        <v>25844825.9666667</v>
      </c>
      <c r="E101" s="45" t="n">
        <f aca="false">E96-E100</f>
        <v>48423326.7333333</v>
      </c>
    </row>
    <row r="103" customFormat="false" ht="15" hidden="false" customHeight="false" outlineLevel="0" collapsed="false">
      <c r="B103" s="21" t="s">
        <v>152</v>
      </c>
      <c r="C103" s="48" t="n">
        <f aca="false">C91</f>
        <v>119411930</v>
      </c>
      <c r="D103" s="48" t="n">
        <f aca="false">D91</f>
        <v>133098190</v>
      </c>
      <c r="E103" s="48" t="n">
        <f aca="false">E91</f>
        <v>143879330</v>
      </c>
    </row>
    <row r="104" customFormat="false" ht="15" hidden="false" customHeight="false" outlineLevel="0" collapsed="false">
      <c r="B104" s="21" t="s">
        <v>153</v>
      </c>
      <c r="C104" s="48" t="n">
        <f aca="false">IF(Inputs!$J$4="No",C95,0)</f>
        <v>0</v>
      </c>
      <c r="D104" s="48" t="n">
        <f aca="false">IF(Inputs!$J$4="No",D95,0)</f>
        <v>0</v>
      </c>
      <c r="E104" s="48" t="n">
        <f aca="false">IF(Inputs!$J$4="No",E95,0)</f>
        <v>0</v>
      </c>
    </row>
    <row r="105" customFormat="false" ht="15" hidden="false" customHeight="false" outlineLevel="0" collapsed="false">
      <c r="B105" s="23" t="s">
        <v>154</v>
      </c>
      <c r="C105" s="45" t="n">
        <f aca="false">C103+C104</f>
        <v>119411930</v>
      </c>
      <c r="D105" s="45" t="n">
        <f aca="false">D103+D104</f>
        <v>133098190</v>
      </c>
      <c r="E105" s="45" t="n">
        <f aca="false">E103+E104</f>
        <v>143879330</v>
      </c>
    </row>
    <row r="106" customFormat="false" ht="15" hidden="false" customHeight="false" outlineLevel="0" collapsed="false">
      <c r="B106" s="21" t="s">
        <v>155</v>
      </c>
      <c r="C106" s="48" t="n">
        <f aca="false">C100</f>
        <v>120675230.883333</v>
      </c>
      <c r="D106" s="48" t="n">
        <f aca="false">D100</f>
        <v>117160418.333333</v>
      </c>
      <c r="E106" s="48" t="n">
        <f aca="false">E100</f>
        <v>114817209.966667</v>
      </c>
    </row>
    <row r="107" customFormat="false" ht="15" hidden="false" customHeight="false" outlineLevel="0" collapsed="false">
      <c r="B107" s="23" t="s">
        <v>156</v>
      </c>
      <c r="C107" s="45" t="n">
        <f aca="false">C105-C106</f>
        <v>-1263300.88333333</v>
      </c>
      <c r="D107" s="45" t="n">
        <f aca="false">D105-D106</f>
        <v>15937771.6666667</v>
      </c>
      <c r="E107" s="45" t="n">
        <f aca="false">E105-E106</f>
        <v>29062120.0333333</v>
      </c>
    </row>
    <row r="109" customFormat="false" ht="15" hidden="false" customHeight="false" outlineLevel="0" collapsed="false">
      <c r="B109" s="21" t="s">
        <v>121</v>
      </c>
      <c r="C109" s="38" t="n">
        <f aca="false">Calculations!$G$81</f>
        <v>54</v>
      </c>
      <c r="D109" s="38" t="n">
        <f aca="false">Calculations!$G$81</f>
        <v>54</v>
      </c>
      <c r="E109" s="38" t="n">
        <f aca="false">Calculations!$G$81</f>
        <v>54</v>
      </c>
    </row>
    <row r="110" customFormat="false" ht="15" hidden="false" customHeight="false" outlineLevel="0" collapsed="false">
      <c r="B110" s="23" t="s">
        <v>122</v>
      </c>
      <c r="C110" s="44" t="n">
        <f aca="false">C109-C89</f>
        <v>26</v>
      </c>
      <c r="D110" s="44" t="n">
        <f aca="false">D109-D89</f>
        <v>54</v>
      </c>
      <c r="E110" s="44" t="n">
        <f aca="false">E109-E89</f>
        <v>54</v>
      </c>
    </row>
    <row r="111" customFormat="false" ht="15" hidden="false" customHeight="false" outlineLevel="0" collapsed="false">
      <c r="B111" s="21" t="s">
        <v>123</v>
      </c>
      <c r="C111" s="48" t="n">
        <f aca="false">SUMPRODUCT(Calculations!K6:K20*Inputs!$D$8:$D$22*(1+Inputs!$F$53))</f>
        <v>4792330</v>
      </c>
      <c r="D111" s="48" t="n">
        <f aca="false">SUMPRODUCT(Calculations!K26:K40*Inputs!$D$8:$D$22*(1+Inputs!$F$53))</f>
        <v>7868190</v>
      </c>
      <c r="E111" s="48" t="n">
        <f aca="false">SUMPRODUCT(Calculations!K46:K60*Inputs!$D$8:$D$22*(1+Inputs!$F$53))</f>
        <v>4792330</v>
      </c>
    </row>
    <row r="112" customFormat="false" ht="15" hidden="false" customHeight="false" outlineLevel="0" collapsed="false">
      <c r="B112" s="23" t="s">
        <v>157</v>
      </c>
      <c r="C112" s="45" t="n">
        <f aca="false">SUMPRODUCT((Calculations!C6:C20-Calculations!J6:J20)*Inputs!$D$8:$D$22*(1+Inputs!$E$8:$E$22))+SUMPRODUCT(Calculations!K6:K20*Inputs!$D$8:$D$22*(1+Inputs!$F$53))-Calculations!$H$81</f>
        <v>9086530</v>
      </c>
      <c r="D112" s="45" t="n">
        <f aca="false">SUMPRODUCT((Calculations!C26:C40-Calculations!J26:J40)*Inputs!$D$8:$D$22*(1+Inputs!$E$8:$E$22))+SUMPRODUCT(Calculations!K26:K40*Inputs!$D$8:$D$22*(1+Inputs!$F$53))-Calculations!$H$81</f>
        <v>17251590</v>
      </c>
      <c r="E112" s="45" t="n">
        <f aca="false">SUMPRODUCT((Calculations!C46:C60-Calculations!J46:J60)*Inputs!$D$8:$D$22*(1+Inputs!$E$8:$E$22))+SUMPRODUCT(Calculations!K46:K60*Inputs!$D$8:$D$22*(1+Inputs!$F$53))-Calculations!$H$81</f>
        <v>17442130</v>
      </c>
    </row>
    <row r="114" customFormat="false" ht="15" hidden="false" customHeight="false" outlineLevel="0" collapsed="false">
      <c r="B114" s="21" t="s">
        <v>158</v>
      </c>
      <c r="C114" s="40" t="n">
        <f aca="false">Inputs!$F$47</f>
        <v>0</v>
      </c>
      <c r="D114" s="40" t="n">
        <f aca="false">Inputs!$F$47</f>
        <v>0</v>
      </c>
      <c r="E114" s="40" t="n">
        <f aca="false">Inputs!$F$47</f>
        <v>0</v>
      </c>
    </row>
    <row r="115" customFormat="false" ht="15" hidden="false" customHeight="false" outlineLevel="0" collapsed="false">
      <c r="B115" s="21" t="s">
        <v>159</v>
      </c>
      <c r="C115" s="48" t="n">
        <f aca="false">C94+IF(Inputs!$J$4="Yes",C95,0)</f>
        <v>8380000</v>
      </c>
      <c r="D115" s="48" t="n">
        <f aca="false">D94+IF(Inputs!$J$4="Yes",D95,0)</f>
        <v>13900000</v>
      </c>
      <c r="E115" s="48" t="n">
        <f aca="false">E94+IF(Inputs!$J$4="Yes",E95,0)</f>
        <v>20800000</v>
      </c>
    </row>
    <row r="116" customFormat="false" ht="15" hidden="false" customHeight="false" outlineLevel="0" collapsed="false">
      <c r="B116" s="21" t="s">
        <v>160</v>
      </c>
      <c r="C116" s="40" t="n">
        <f aca="false">Inputs!$F$48</f>
        <v>0</v>
      </c>
      <c r="D116" s="40" t="n">
        <f aca="false">Inputs!$F$48</f>
        <v>0</v>
      </c>
      <c r="E116" s="40" t="n">
        <f aca="false">Inputs!$F$48</f>
        <v>0</v>
      </c>
    </row>
    <row r="117" customFormat="false" ht="15" hidden="false" customHeight="false" outlineLevel="0" collapsed="false">
      <c r="B117" s="23" t="s">
        <v>125</v>
      </c>
      <c r="C117" s="45" t="n">
        <f aca="false">C114+C115-C116</f>
        <v>8380000</v>
      </c>
      <c r="D117" s="45" t="n">
        <f aca="false">D114+D115-D116</f>
        <v>13900000</v>
      </c>
      <c r="E117" s="45" t="n">
        <f aca="false">E114+E115-E116</f>
        <v>20800000</v>
      </c>
    </row>
  </sheetData>
  <mergeCells count="5">
    <mergeCell ref="B4:L4"/>
    <mergeCell ref="B24:L24"/>
    <mergeCell ref="B44:L44"/>
    <mergeCell ref="B64:I64"/>
    <mergeCell ref="B84:E8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2026-09-15T18:57:46Z</dcterms:created>
  <dc:creator>openpyxl</dc:creator>
  <dc:description/>
  <dc:language>en-US</dc:language>
  <cp:lastModifiedBy/>
  <dcterms:modified xsi:type="dcterms:W3CDTF">2026-09-15T18:57:52Z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
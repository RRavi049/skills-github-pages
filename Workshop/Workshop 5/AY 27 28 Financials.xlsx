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er\Consulting\HLC\Workshop\Workshop 5\"/>
    </mc:Choice>
  </mc:AlternateContent>
  <xr:revisionPtr revIDLastSave="0" documentId="13_ncr:1_{CE59C7FA-AB77-4819-B384-77141EC59401}" xr6:coauthVersionLast="47" xr6:coauthVersionMax="47" xr10:uidLastSave="{00000000-0000-0000-0000-000000000000}"/>
  <bookViews>
    <workbookView xWindow="-108" yWindow="-108" windowWidth="23256" windowHeight="12456" xr2:uid="{18397208-676E-4FC4-8412-4A8EB2D94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G6" i="1"/>
  <c r="H6" i="1"/>
  <c r="I6" i="1"/>
  <c r="J6" i="1"/>
  <c r="K6" i="1"/>
  <c r="L6" i="1"/>
  <c r="M6" i="1"/>
  <c r="N6" i="1"/>
  <c r="O6" i="1"/>
  <c r="P6" i="1"/>
  <c r="Q6" i="1"/>
  <c r="D6" i="1"/>
  <c r="C24" i="1"/>
  <c r="P5" i="1"/>
</calcChain>
</file>

<file path=xl/sharedStrings.xml><?xml version="1.0" encoding="utf-8"?>
<sst xmlns="http://schemas.openxmlformats.org/spreadsheetml/2006/main" count="39" uniqueCount="38">
  <si>
    <t>Pre-KG</t>
  </si>
  <si>
    <t>LKG</t>
  </si>
  <si>
    <t>UKG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</si>
  <si>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</si>
  <si>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</si>
  <si>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</si>
  <si>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</si>
  <si>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</si>
  <si>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</si>
  <si>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</si>
  <si>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</si>
  <si>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</si>
  <si>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</si>
  <si>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Fee Increase</t>
  </si>
  <si>
    <t>Base Fee</t>
  </si>
  <si>
    <t>AY 2027 - 28</t>
  </si>
  <si>
    <t>Teacher salaries</t>
  </si>
  <si>
    <t>Rent</t>
  </si>
  <si>
    <t>Other core operating expenses</t>
  </si>
  <si>
    <t>Cambridge affiliation</t>
  </si>
  <si>
    <t>Safety / essential maintenance</t>
  </si>
  <si>
    <t>Property purchase loan servicing</t>
  </si>
  <si>
    <t>Growth marketing</t>
  </si>
  <si>
    <t>Additional / discretionary maintenance</t>
  </si>
  <si>
    <t>International obligations</t>
  </si>
  <si>
    <t>Annual</t>
  </si>
  <si>
    <t>Miscellaneous Expences</t>
  </si>
  <si>
    <t>Total students</t>
  </si>
  <si>
    <t>Existing students</t>
  </si>
  <si>
    <t>New students</t>
  </si>
  <si>
    <t>Initial fee per new student</t>
  </si>
  <si>
    <t>Returnable Contribution % existing students to fund</t>
  </si>
  <si>
    <t>Returnable Contribution per student</t>
  </si>
  <si>
    <t>Revenue</t>
  </si>
  <si>
    <t>Expences</t>
  </si>
  <si>
    <t>XI</t>
  </si>
  <si>
    <t>XII</t>
  </si>
  <si>
    <t>Possible dropouts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</si>
</sst>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0000CC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Fill="1" applyBorder="1" applyAlignment="1">
      <alignment wrapText="1"/>
    </xf>
    <xf numFmtId="0" fontId="1" fillId="0" borderId="2" xfId="0" applyFont="1" applyFill="1" applyBorder="1" applyAlignment="1">
      <alignment horizontal="center" wrapText="1"/>
    </xf>
    <xf numFmtId="0" fontId="0" fillId="0" borderId="2" xfId="0" applyFont="1" applyFill="1" applyBorder="1" applyAlignment="1">
      <alignment horizontal="left" vertical="top" wrapText="1"/>
    </xf>
    <xf numFmtId="0" fontId="0" fillId="0" borderId="2" xfId="0" applyFont="1" applyFill="1" applyBorder="1" applyAlignment="1">
      <alignment horizontal="center" wrapText="1"/>
    </xf>
    <xf numFmtId="0" fontId="0" fillId="0" borderId="2" xfId="0" applyFont="1" applyBorder="1" applyAlignment="1">
      <alignment horizontal="left" vertical="top"/>
    </xf>
    <xf numFmtId="0" fontId="0" fillId="0" borderId="2" xfId="0" applyFont="1" applyBorder="1"/>
    <xf numFmtId="9" fontId="0" fillId="0" borderId="2" xfId="0" applyNumberFormat="1" applyFont="1" applyBorder="1" applyAlignment="1">
      <alignment horizontal="right" wrapText="1"/>
    </xf>
    <xf numFmtId="0" fontId="0" fillId="0" borderId="2" xfId="0" applyFont="1" applyFill="1" applyBorder="1" applyAlignment="1">
      <alignment horizontal="left" vertical="top"/>
    </xf>
    <xf numFmtId="9" fontId="0" fillId="0" borderId="2" xfId="0" applyNumberFormat="1" applyFont="1" applyBorder="1"/>
    <xf numFmtId="3" fontId="2" fillId="0" borderId="1" xfId="0" applyNumberFormat="1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 vertical="top"/>
    </xf>
    <xf numFmtId="0" fontId="2" fillId="0" borderId="2" xfId="0" applyFont="1" applyFill="1" applyBorder="1" applyAlignment="1">
      <alignment vertical="center" wrapText="1"/>
    </xf>
    <xf numFmtId="3" fontId="2" fillId="0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14E5B-5402-4939-90BC-6334A42A31E3}">
  <dimension ref="B1:Q24"/>
  <sheetViews>
    <sheetView tabSelected="1" workbookViewId="0">
      <selection activeCell="H22" sqref="H22"/>
    </sheetView>
  </sheetViews>
  <sheetFormatPr defaultRowHeight="14.4" x14ac:dyDescent="0.3"/>
  <cols>
    <col min="2" max="2" width="33.88671875" customWidth="1"/>
    <col min="3" max="3" width="15.6640625" customWidth="1"/>
    <col min="11" max="11" width="9.44140625" bestFit="1" customWidth="1"/>
  </cols>
  <sheetData>
    <row r="1" spans="2:17" ht="21" x14ac:dyDescent="0.3">
      <c r="B1" s="13" t="s">
        <v>33</v>
      </c>
    </row>
    <row r="2" spans="2:17" x14ac:dyDescent="0.3">
      <c r="B2" s="1" t="s">
        <v>15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2" t="s">
        <v>35</v>
      </c>
      <c r="Q2" s="2" t="s">
        <v>36</v>
      </c>
    </row>
    <row r="3" spans="2:17" x14ac:dyDescent="0.3">
      <c r="B3" s="3" t="s">
        <v>28</v>
      </c>
      <c r="C3" s="4">
        <v>0</v>
      </c>
      <c r="D3" s="4">
        <v>4</v>
      </c>
      <c r="E3" s="4">
        <v>15</v>
      </c>
      <c r="F3" s="4">
        <v>23</v>
      </c>
      <c r="G3" s="4">
        <v>33</v>
      </c>
      <c r="H3" s="4">
        <v>34</v>
      </c>
      <c r="I3" s="4">
        <v>32</v>
      </c>
      <c r="J3" s="4">
        <v>31</v>
      </c>
      <c r="K3" s="4">
        <v>31</v>
      </c>
      <c r="L3" s="4">
        <v>27</v>
      </c>
      <c r="M3" s="4">
        <v>25</v>
      </c>
      <c r="N3" s="4">
        <v>26</v>
      </c>
      <c r="O3" s="4">
        <v>30</v>
      </c>
      <c r="P3" s="4">
        <v>26</v>
      </c>
      <c r="Q3" s="4">
        <v>29</v>
      </c>
    </row>
    <row r="4" spans="2:17" x14ac:dyDescent="0.3">
      <c r="B4" s="3" t="s">
        <v>37</v>
      </c>
      <c r="C4" s="4">
        <v>0</v>
      </c>
      <c r="D4" s="4">
        <v>0</v>
      </c>
      <c r="E4" s="4">
        <v>0</v>
      </c>
      <c r="F4" s="4">
        <v>0</v>
      </c>
      <c r="G4" s="4">
        <v>5</v>
      </c>
      <c r="H4" s="4">
        <v>5</v>
      </c>
      <c r="I4" s="4">
        <v>5</v>
      </c>
      <c r="J4" s="4">
        <v>5</v>
      </c>
      <c r="K4" s="4">
        <v>3</v>
      </c>
      <c r="L4" s="4">
        <v>2</v>
      </c>
      <c r="M4" s="4">
        <v>2</v>
      </c>
      <c r="N4" s="4">
        <v>1</v>
      </c>
      <c r="O4" s="4">
        <v>0</v>
      </c>
      <c r="P4" s="4">
        <v>0</v>
      </c>
      <c r="Q4" s="4">
        <v>0</v>
      </c>
    </row>
    <row r="5" spans="2:17" x14ac:dyDescent="0.3">
      <c r="B5" s="3" t="s">
        <v>29</v>
      </c>
      <c r="C5" s="4">
        <v>0</v>
      </c>
      <c r="D5" s="4">
        <v>26</v>
      </c>
      <c r="E5" s="4">
        <v>15</v>
      </c>
      <c r="F5" s="4">
        <v>14</v>
      </c>
      <c r="G5" s="4">
        <v>0</v>
      </c>
      <c r="H5" s="4">
        <v>0</v>
      </c>
      <c r="I5" s="4">
        <v>0</v>
      </c>
      <c r="J5" s="4">
        <v>1</v>
      </c>
      <c r="K5" s="4">
        <v>1</v>
      </c>
      <c r="L5" s="4">
        <v>3</v>
      </c>
      <c r="M5" s="4">
        <v>5</v>
      </c>
      <c r="N5" s="4">
        <v>4</v>
      </c>
      <c r="O5" s="4">
        <v>0</v>
      </c>
      <c r="P5" s="4">
        <f>4+30</f>
        <v>34</v>
      </c>
      <c r="Q5" s="4">
        <v>1</v>
      </c>
    </row>
    <row r="6" spans="2:17" ht="15" thickBot="1" x14ac:dyDescent="0.35">
      <c r="B6" s="5" t="s">
        <v>27</v>
      </c>
      <c r="C6" s="6"/>
      <c r="D6" s="6">
        <f>D3+D5</f>
        <v>30</v>
      </c>
      <c r="E6" s="6">
        <f t="shared" ref="E6:Q6" si="0">E3+E5</f>
        <v>30</v>
      </c>
      <c r="F6" s="6">
        <f t="shared" si="0"/>
        <v>37</v>
      </c>
      <c r="G6" s="6">
        <f t="shared" si="0"/>
        <v>33</v>
      </c>
      <c r="H6" s="6">
        <f t="shared" si="0"/>
        <v>34</v>
      </c>
      <c r="I6" s="6">
        <f t="shared" si="0"/>
        <v>32</v>
      </c>
      <c r="J6" s="6">
        <f t="shared" si="0"/>
        <v>32</v>
      </c>
      <c r="K6" s="6">
        <f t="shared" si="0"/>
        <v>32</v>
      </c>
      <c r="L6" s="6">
        <f t="shared" si="0"/>
        <v>30</v>
      </c>
      <c r="M6" s="6">
        <f t="shared" si="0"/>
        <v>30</v>
      </c>
      <c r="N6" s="6">
        <f t="shared" si="0"/>
        <v>30</v>
      </c>
      <c r="O6" s="6">
        <f t="shared" si="0"/>
        <v>30</v>
      </c>
      <c r="P6" s="6">
        <f t="shared" si="0"/>
        <v>60</v>
      </c>
      <c r="Q6" s="6">
        <f t="shared" si="0"/>
        <v>30</v>
      </c>
    </row>
    <row r="7" spans="2:17" ht="15" thickBot="1" x14ac:dyDescent="0.35">
      <c r="B7" s="5" t="s">
        <v>14</v>
      </c>
      <c r="C7" s="6"/>
      <c r="D7" s="10">
        <v>210000</v>
      </c>
      <c r="E7" s="10">
        <v>201000</v>
      </c>
      <c r="F7" s="10">
        <v>217000</v>
      </c>
      <c r="G7" s="10">
        <v>217000</v>
      </c>
      <c r="H7" s="10">
        <v>227000</v>
      </c>
      <c r="I7" s="10">
        <v>232000</v>
      </c>
      <c r="J7" s="10">
        <v>254000</v>
      </c>
      <c r="K7" s="10">
        <v>270000</v>
      </c>
      <c r="L7" s="10">
        <v>288000</v>
      </c>
      <c r="M7" s="10">
        <v>304000</v>
      </c>
      <c r="N7" s="10">
        <v>319000</v>
      </c>
      <c r="O7" s="10">
        <v>332000</v>
      </c>
      <c r="P7" s="10">
        <v>294000</v>
      </c>
      <c r="Q7" s="10">
        <v>306000</v>
      </c>
    </row>
    <row r="8" spans="2:17" x14ac:dyDescent="0.3">
      <c r="B8" s="5" t="s">
        <v>13</v>
      </c>
      <c r="C8" s="6"/>
      <c r="D8" s="7">
        <v>0</v>
      </c>
      <c r="E8" s="7">
        <v>0</v>
      </c>
      <c r="F8" s="7">
        <v>0</v>
      </c>
      <c r="G8" s="7">
        <v>0.2</v>
      </c>
      <c r="H8" s="7">
        <v>0.2</v>
      </c>
      <c r="I8" s="7">
        <v>0.2</v>
      </c>
      <c r="J8" s="7">
        <v>0.2</v>
      </c>
      <c r="K8" s="7">
        <v>0.2</v>
      </c>
      <c r="L8" s="7">
        <v>0.2</v>
      </c>
      <c r="M8" s="7">
        <v>0.2</v>
      </c>
      <c r="N8" s="7">
        <v>0.2</v>
      </c>
      <c r="O8" s="7">
        <v>0.2</v>
      </c>
      <c r="P8" s="7">
        <v>0.2</v>
      </c>
      <c r="Q8" s="7">
        <v>0.2</v>
      </c>
    </row>
    <row r="9" spans="2:17" ht="15" thickBot="1" x14ac:dyDescent="0.35">
      <c r="B9" s="8" t="s">
        <v>31</v>
      </c>
      <c r="C9" s="6"/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0.2</v>
      </c>
      <c r="L9" s="9">
        <v>0.2</v>
      </c>
      <c r="M9" s="9">
        <v>0.3</v>
      </c>
      <c r="N9" s="9">
        <v>0.3</v>
      </c>
      <c r="O9" s="9">
        <v>0.2</v>
      </c>
      <c r="P9" s="9">
        <v>0.1</v>
      </c>
      <c r="Q9" s="9">
        <v>0</v>
      </c>
    </row>
    <row r="10" spans="2:17" ht="15" thickBot="1" x14ac:dyDescent="0.35">
      <c r="B10" s="8" t="s">
        <v>32</v>
      </c>
      <c r="C10" s="6"/>
      <c r="D10" s="10"/>
      <c r="E10" s="10"/>
      <c r="F10" s="10"/>
      <c r="G10" s="10"/>
      <c r="H10" s="10"/>
      <c r="I10" s="10"/>
      <c r="J10" s="10"/>
      <c r="K10" s="10">
        <v>200000</v>
      </c>
      <c r="L10" s="10">
        <v>200000</v>
      </c>
      <c r="M10" s="10">
        <v>200000</v>
      </c>
      <c r="N10" s="10">
        <v>200000</v>
      </c>
      <c r="O10" s="10">
        <v>200000</v>
      </c>
      <c r="P10" s="10">
        <v>200000</v>
      </c>
      <c r="Q10" s="10"/>
    </row>
    <row r="11" spans="2:17" ht="15" thickBot="1" x14ac:dyDescent="0.35">
      <c r="B11" s="8" t="s">
        <v>30</v>
      </c>
      <c r="C11" s="6"/>
      <c r="D11" s="10">
        <v>100000</v>
      </c>
      <c r="E11" s="10">
        <v>100000</v>
      </c>
      <c r="F11" s="10">
        <v>0</v>
      </c>
      <c r="G11" s="10">
        <v>100000</v>
      </c>
      <c r="H11" s="10">
        <v>100000</v>
      </c>
      <c r="I11" s="10">
        <v>100000</v>
      </c>
      <c r="J11" s="10">
        <v>100000</v>
      </c>
      <c r="K11" s="10">
        <v>100000</v>
      </c>
      <c r="L11" s="10">
        <v>100000</v>
      </c>
      <c r="M11" s="10">
        <v>100000</v>
      </c>
      <c r="N11" s="10">
        <v>100000</v>
      </c>
      <c r="O11" s="10">
        <v>100000</v>
      </c>
      <c r="P11" s="10">
        <v>0</v>
      </c>
      <c r="Q11" s="10">
        <v>100000</v>
      </c>
    </row>
    <row r="13" spans="2:17" ht="21" x14ac:dyDescent="0.3">
      <c r="B13" s="13" t="s">
        <v>34</v>
      </c>
    </row>
    <row r="14" spans="2:17" x14ac:dyDescent="0.3">
      <c r="B14" s="11" t="s">
        <v>15</v>
      </c>
      <c r="C14" s="12" t="s">
        <v>25</v>
      </c>
    </row>
    <row r="15" spans="2:17" x14ac:dyDescent="0.3">
      <c r="B15" s="14" t="s">
        <v>16</v>
      </c>
      <c r="C15" s="15">
        <v>57969300</v>
      </c>
    </row>
    <row r="16" spans="2:17" x14ac:dyDescent="0.3">
      <c r="B16" s="14" t="s">
        <v>17</v>
      </c>
      <c r="C16" s="15">
        <v>2750000</v>
      </c>
    </row>
    <row r="17" spans="2:3" x14ac:dyDescent="0.3">
      <c r="B17" s="14" t="s">
        <v>18</v>
      </c>
      <c r="C17" s="15">
        <v>24347100</v>
      </c>
    </row>
    <row r="18" spans="2:3" x14ac:dyDescent="0.3">
      <c r="B18" s="14" t="s">
        <v>19</v>
      </c>
      <c r="C18" s="15">
        <v>1069196</v>
      </c>
    </row>
    <row r="19" spans="2:3" x14ac:dyDescent="0.3">
      <c r="B19" s="14" t="s">
        <v>20</v>
      </c>
      <c r="C19" s="15">
        <v>2500000</v>
      </c>
    </row>
    <row r="20" spans="2:3" x14ac:dyDescent="0.3">
      <c r="B20" s="14" t="s">
        <v>21</v>
      </c>
      <c r="C20" s="15">
        <v>13045454</v>
      </c>
    </row>
    <row r="21" spans="2:3" x14ac:dyDescent="0.3">
      <c r="B21" s="14" t="s">
        <v>22</v>
      </c>
      <c r="C21" s="15">
        <v>5000000</v>
      </c>
    </row>
    <row r="22" spans="2:3" x14ac:dyDescent="0.3">
      <c r="B22" s="14" t="s">
        <v>23</v>
      </c>
      <c r="C22" s="15">
        <v>2500000</v>
      </c>
    </row>
    <row r="23" spans="2:3" x14ac:dyDescent="0.3">
      <c r="B23" s="14" t="s">
        <v>24</v>
      </c>
      <c r="C23" s="15">
        <v>4200000</v>
      </c>
    </row>
    <row r="24" spans="2:3" x14ac:dyDescent="0.3">
      <c r="B24" s="14" t="s">
        <v>26</v>
      </c>
      <c r="C24" s="15">
        <f>11338105/3</f>
        <v>3779368.3333333335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Radhakrishnan</dc:creator>
  <cp:lastModifiedBy>Ravi Radhakrishnan</cp:lastModifiedBy>
  <dcterms:created xsi:type="dcterms:W3CDTF">2026-09-15T16:13:32Z</dcterms:created>
  <dcterms:modified xsi:type="dcterms:W3CDTF">2026-09-15T20:14:25Z</dcterms:modified>
</cp:coreProperties>
</file>
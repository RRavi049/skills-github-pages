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er\Consulting\HLC\Workshop\Workshop 5\"/>
    </mc:Choice>
  </mc:AlternateContent>
  <xr:revisionPtr revIDLastSave="0" documentId="13_ncr:1_{31E4A8C6-D399-4943-9315-65EB92FF6217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ReadMe" sheetId="1" r:id="rId1"/>
    <sheet name="Inputs" sheetId="2" r:id="rId2"/>
    <sheet name="Dashboard" sheetId="3" r:id="rId3"/>
    <sheet name="Calcula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88" i="4" l="1"/>
  <c r="D88" i="4"/>
  <c r="C88" i="4"/>
  <c r="E86" i="4"/>
  <c r="D86" i="4"/>
  <c r="C86" i="4"/>
  <c r="E81" i="4"/>
  <c r="D81" i="4"/>
  <c r="C81" i="4"/>
  <c r="E76" i="4"/>
  <c r="D76" i="4"/>
  <c r="C76" i="4"/>
  <c r="E69" i="4"/>
  <c r="D69" i="4"/>
  <c r="C69" i="4"/>
  <c r="C61" i="4"/>
  <c r="I60" i="4"/>
  <c r="H60" i="4"/>
  <c r="G60" i="4"/>
  <c r="D60" i="4"/>
  <c r="E60" i="4" s="1"/>
  <c r="F60" i="4" s="1"/>
  <c r="C60" i="4"/>
  <c r="B60" i="4"/>
  <c r="I59" i="4"/>
  <c r="H59" i="4"/>
  <c r="G59" i="4"/>
  <c r="D59" i="4"/>
  <c r="E59" i="4" s="1"/>
  <c r="F59" i="4" s="1"/>
  <c r="C59" i="4"/>
  <c r="B59" i="4"/>
  <c r="I58" i="4"/>
  <c r="H58" i="4"/>
  <c r="G58" i="4"/>
  <c r="D58" i="4"/>
  <c r="E58" i="4" s="1"/>
  <c r="F58" i="4" s="1"/>
  <c r="C58" i="4"/>
  <c r="B58" i="4"/>
  <c r="I57" i="4"/>
  <c r="H57" i="4"/>
  <c r="G57" i="4"/>
  <c r="D57" i="4"/>
  <c r="E57" i="4" s="1"/>
  <c r="F57" i="4" s="1"/>
  <c r="C57" i="4"/>
  <c r="B57" i="4"/>
  <c r="I56" i="4"/>
  <c r="H56" i="4"/>
  <c r="G56" i="4"/>
  <c r="D56" i="4"/>
  <c r="E56" i="4" s="1"/>
  <c r="F56" i="4" s="1"/>
  <c r="C56" i="4"/>
  <c r="B56" i="4"/>
  <c r="I55" i="4"/>
  <c r="H55" i="4"/>
  <c r="G55" i="4"/>
  <c r="D55" i="4"/>
  <c r="E55" i="4" s="1"/>
  <c r="F55" i="4" s="1"/>
  <c r="C55" i="4"/>
  <c r="B55" i="4"/>
  <c r="I54" i="4"/>
  <c r="H54" i="4"/>
  <c r="G54" i="4"/>
  <c r="D54" i="4"/>
  <c r="E54" i="4" s="1"/>
  <c r="F54" i="4" s="1"/>
  <c r="C54" i="4"/>
  <c r="B54" i="4"/>
  <c r="I53" i="4"/>
  <c r="H53" i="4"/>
  <c r="G53" i="4"/>
  <c r="D53" i="4"/>
  <c r="E53" i="4" s="1"/>
  <c r="F53" i="4" s="1"/>
  <c r="C53" i="4"/>
  <c r="B53" i="4"/>
  <c r="I52" i="4"/>
  <c r="H52" i="4"/>
  <c r="G52" i="4"/>
  <c r="D52" i="4"/>
  <c r="E52" i="4" s="1"/>
  <c r="F52" i="4" s="1"/>
  <c r="C52" i="4"/>
  <c r="B52" i="4"/>
  <c r="I51" i="4"/>
  <c r="H51" i="4"/>
  <c r="G51" i="4"/>
  <c r="D51" i="4"/>
  <c r="E51" i="4" s="1"/>
  <c r="F51" i="4" s="1"/>
  <c r="C51" i="4"/>
  <c r="B51" i="4"/>
  <c r="I50" i="4"/>
  <c r="H50" i="4"/>
  <c r="G50" i="4"/>
  <c r="D50" i="4"/>
  <c r="E50" i="4" s="1"/>
  <c r="F50" i="4" s="1"/>
  <c r="C50" i="4"/>
  <c r="B50" i="4"/>
  <c r="I49" i="4"/>
  <c r="H49" i="4"/>
  <c r="G49" i="4"/>
  <c r="D49" i="4"/>
  <c r="E49" i="4" s="1"/>
  <c r="F49" i="4" s="1"/>
  <c r="C49" i="4"/>
  <c r="B49" i="4"/>
  <c r="I48" i="4"/>
  <c r="H48" i="4"/>
  <c r="G48" i="4"/>
  <c r="D48" i="4"/>
  <c r="E48" i="4" s="1"/>
  <c r="F48" i="4" s="1"/>
  <c r="C48" i="4"/>
  <c r="B48" i="4"/>
  <c r="I47" i="4"/>
  <c r="H47" i="4"/>
  <c r="G47" i="4"/>
  <c r="D47" i="4"/>
  <c r="E47" i="4" s="1"/>
  <c r="F47" i="4" s="1"/>
  <c r="C47" i="4"/>
  <c r="B47" i="4"/>
  <c r="I46" i="4"/>
  <c r="I61" i="4" s="1"/>
  <c r="E72" i="4" s="1"/>
  <c r="E18" i="3" s="1"/>
  <c r="H46" i="4"/>
  <c r="H61" i="4" s="1"/>
  <c r="E71" i="4" s="1"/>
  <c r="G46" i="4"/>
  <c r="D46" i="4"/>
  <c r="E46" i="4" s="1"/>
  <c r="C46" i="4"/>
  <c r="B46" i="4"/>
  <c r="C41" i="4"/>
  <c r="H40" i="4"/>
  <c r="G40" i="4"/>
  <c r="F40" i="4"/>
  <c r="E40" i="4"/>
  <c r="D40" i="4"/>
  <c r="I40" i="4" s="1"/>
  <c r="I44" i="3" s="1"/>
  <c r="C40" i="4"/>
  <c r="B40" i="4"/>
  <c r="H39" i="4"/>
  <c r="G39" i="4"/>
  <c r="F39" i="4"/>
  <c r="E39" i="4"/>
  <c r="D39" i="4"/>
  <c r="I39" i="4" s="1"/>
  <c r="I43" i="3" s="1"/>
  <c r="C39" i="4"/>
  <c r="B39" i="4"/>
  <c r="H38" i="4"/>
  <c r="G38" i="4"/>
  <c r="F38" i="4"/>
  <c r="E38" i="4"/>
  <c r="D38" i="4"/>
  <c r="I38" i="4" s="1"/>
  <c r="I42" i="3" s="1"/>
  <c r="C38" i="4"/>
  <c r="B38" i="4"/>
  <c r="H37" i="4"/>
  <c r="G37" i="4"/>
  <c r="F37" i="4"/>
  <c r="E37" i="4"/>
  <c r="D37" i="4"/>
  <c r="I37" i="4" s="1"/>
  <c r="C37" i="4"/>
  <c r="B37" i="4"/>
  <c r="I36" i="4"/>
  <c r="H36" i="4"/>
  <c r="G36" i="4"/>
  <c r="F36" i="4"/>
  <c r="E36" i="4"/>
  <c r="D36" i="4"/>
  <c r="C36" i="4"/>
  <c r="B36" i="4"/>
  <c r="I35" i="4"/>
  <c r="H35" i="4"/>
  <c r="G35" i="4"/>
  <c r="F35" i="4"/>
  <c r="E35" i="4"/>
  <c r="D35" i="4"/>
  <c r="C35" i="4"/>
  <c r="B35" i="4"/>
  <c r="I34" i="4"/>
  <c r="H34" i="4"/>
  <c r="G34" i="4"/>
  <c r="F34" i="4"/>
  <c r="E34" i="4"/>
  <c r="D34" i="4"/>
  <c r="C34" i="4"/>
  <c r="B34" i="4"/>
  <c r="I33" i="4"/>
  <c r="H33" i="4"/>
  <c r="G33" i="4"/>
  <c r="F33" i="4"/>
  <c r="E33" i="4"/>
  <c r="D33" i="4"/>
  <c r="C33" i="4"/>
  <c r="B33" i="4"/>
  <c r="I32" i="4"/>
  <c r="H32" i="4"/>
  <c r="G32" i="4"/>
  <c r="F32" i="4"/>
  <c r="E32" i="4"/>
  <c r="D32" i="4"/>
  <c r="C32" i="4"/>
  <c r="B32" i="4"/>
  <c r="I31" i="4"/>
  <c r="H31" i="4"/>
  <c r="G31" i="4"/>
  <c r="F31" i="4"/>
  <c r="E31" i="4"/>
  <c r="D31" i="4"/>
  <c r="C31" i="4"/>
  <c r="B31" i="4"/>
  <c r="I30" i="4"/>
  <c r="H30" i="4"/>
  <c r="G30" i="4"/>
  <c r="F30" i="4"/>
  <c r="E30" i="4"/>
  <c r="D30" i="4"/>
  <c r="C30" i="4"/>
  <c r="B30" i="4"/>
  <c r="I29" i="4"/>
  <c r="H29" i="4"/>
  <c r="G29" i="4"/>
  <c r="F29" i="4"/>
  <c r="E29" i="4"/>
  <c r="D29" i="4"/>
  <c r="C29" i="4"/>
  <c r="B29" i="4"/>
  <c r="I28" i="4"/>
  <c r="H28" i="4"/>
  <c r="G28" i="4"/>
  <c r="F28" i="4"/>
  <c r="E28" i="4"/>
  <c r="D28" i="4"/>
  <c r="C28" i="4"/>
  <c r="B28" i="4"/>
  <c r="I27" i="4"/>
  <c r="H27" i="4"/>
  <c r="G27" i="4"/>
  <c r="F27" i="4"/>
  <c r="E27" i="4"/>
  <c r="D27" i="4"/>
  <c r="C27" i="4"/>
  <c r="B27" i="4"/>
  <c r="I26" i="4"/>
  <c r="H26" i="4"/>
  <c r="H41" i="4" s="1"/>
  <c r="D71" i="4" s="1"/>
  <c r="G26" i="4"/>
  <c r="F26" i="4"/>
  <c r="F41" i="4" s="1"/>
  <c r="D68" i="4" s="1"/>
  <c r="E26" i="4"/>
  <c r="E41" i="4" s="1"/>
  <c r="D67" i="4" s="1"/>
  <c r="D14" i="3" s="1"/>
  <c r="D26" i="4"/>
  <c r="D41" i="4" s="1"/>
  <c r="D66" i="4" s="1"/>
  <c r="D13" i="3" s="1"/>
  <c r="C26" i="4"/>
  <c r="B26" i="4"/>
  <c r="G20" i="4"/>
  <c r="F20" i="4"/>
  <c r="E20" i="4"/>
  <c r="D20" i="4"/>
  <c r="I20" i="4" s="1"/>
  <c r="C20" i="4"/>
  <c r="H20" i="4" s="1"/>
  <c r="B20" i="4"/>
  <c r="G19" i="4"/>
  <c r="F19" i="4"/>
  <c r="E19" i="4"/>
  <c r="D19" i="4"/>
  <c r="I19" i="4" s="1"/>
  <c r="C19" i="4"/>
  <c r="H19" i="4" s="1"/>
  <c r="B19" i="4"/>
  <c r="G18" i="4"/>
  <c r="F18" i="4"/>
  <c r="E18" i="4"/>
  <c r="D18" i="4"/>
  <c r="I18" i="4" s="1"/>
  <c r="C18" i="4"/>
  <c r="H18" i="4" s="1"/>
  <c r="B18" i="4"/>
  <c r="G17" i="4"/>
  <c r="F17" i="4"/>
  <c r="E17" i="4"/>
  <c r="D17" i="4"/>
  <c r="I17" i="4" s="1"/>
  <c r="C17" i="4"/>
  <c r="H17" i="4" s="1"/>
  <c r="B17" i="4"/>
  <c r="G16" i="4"/>
  <c r="F16" i="4"/>
  <c r="E16" i="4"/>
  <c r="D16" i="4"/>
  <c r="I16" i="4" s="1"/>
  <c r="C16" i="4"/>
  <c r="H16" i="4" s="1"/>
  <c r="B16" i="4"/>
  <c r="G15" i="4"/>
  <c r="F15" i="4"/>
  <c r="E15" i="4"/>
  <c r="D15" i="4"/>
  <c r="I15" i="4" s="1"/>
  <c r="C15" i="4"/>
  <c r="H15" i="4" s="1"/>
  <c r="B15" i="4"/>
  <c r="G14" i="4"/>
  <c r="F14" i="4"/>
  <c r="E14" i="4"/>
  <c r="D14" i="4"/>
  <c r="I14" i="4" s="1"/>
  <c r="C14" i="4"/>
  <c r="H14" i="4" s="1"/>
  <c r="B14" i="4"/>
  <c r="G13" i="4"/>
  <c r="F13" i="4"/>
  <c r="E13" i="4"/>
  <c r="D13" i="4"/>
  <c r="I13" i="4" s="1"/>
  <c r="C13" i="4"/>
  <c r="H13" i="4" s="1"/>
  <c r="B13" i="4"/>
  <c r="G12" i="4"/>
  <c r="F12" i="4"/>
  <c r="E12" i="4"/>
  <c r="D12" i="4"/>
  <c r="I12" i="4" s="1"/>
  <c r="C12" i="4"/>
  <c r="H12" i="4" s="1"/>
  <c r="B12" i="4"/>
  <c r="G11" i="4"/>
  <c r="F11" i="4"/>
  <c r="E11" i="4"/>
  <c r="D11" i="4"/>
  <c r="I11" i="4" s="1"/>
  <c r="C11" i="4"/>
  <c r="H11" i="4" s="1"/>
  <c r="B11" i="4"/>
  <c r="G10" i="4"/>
  <c r="F10" i="4"/>
  <c r="E10" i="4"/>
  <c r="D10" i="4"/>
  <c r="I10" i="4" s="1"/>
  <c r="C10" i="4"/>
  <c r="H10" i="4" s="1"/>
  <c r="B10" i="4"/>
  <c r="G9" i="4"/>
  <c r="F9" i="4"/>
  <c r="E9" i="4"/>
  <c r="D9" i="4"/>
  <c r="I9" i="4" s="1"/>
  <c r="C9" i="4"/>
  <c r="H9" i="4" s="1"/>
  <c r="B9" i="4"/>
  <c r="G8" i="4"/>
  <c r="F8" i="4"/>
  <c r="E8" i="4"/>
  <c r="D8" i="4"/>
  <c r="I8" i="4" s="1"/>
  <c r="C8" i="4"/>
  <c r="H8" i="4" s="1"/>
  <c r="B8" i="4"/>
  <c r="G7" i="4"/>
  <c r="F7" i="4"/>
  <c r="E7" i="4"/>
  <c r="D7" i="4"/>
  <c r="I7" i="4" s="1"/>
  <c r="C7" i="4"/>
  <c r="H7" i="4" s="1"/>
  <c r="B7" i="4"/>
  <c r="G6" i="4"/>
  <c r="F6" i="4"/>
  <c r="F21" i="4" s="1"/>
  <c r="C68" i="4" s="1"/>
  <c r="E6" i="4"/>
  <c r="E21" i="4" s="1"/>
  <c r="C67" i="4" s="1"/>
  <c r="C14" i="3" s="1"/>
  <c r="D6" i="4"/>
  <c r="I6" i="4" s="1"/>
  <c r="I21" i="4" s="1"/>
  <c r="C72" i="4" s="1"/>
  <c r="C18" i="3" s="1"/>
  <c r="C6" i="4"/>
  <c r="C21" i="4" s="1"/>
  <c r="B6" i="4"/>
  <c r="C36" i="2"/>
  <c r="C37" i="2" s="1"/>
  <c r="F23" i="2"/>
  <c r="E23" i="2"/>
  <c r="C23" i="2"/>
  <c r="H44" i="3"/>
  <c r="G44" i="3"/>
  <c r="F44" i="3"/>
  <c r="E44" i="3"/>
  <c r="D44" i="3"/>
  <c r="C44" i="3"/>
  <c r="B44" i="3"/>
  <c r="H43" i="3"/>
  <c r="G43" i="3"/>
  <c r="F43" i="3"/>
  <c r="E43" i="3"/>
  <c r="D43" i="3"/>
  <c r="C43" i="3"/>
  <c r="B43" i="3"/>
  <c r="H42" i="3"/>
  <c r="G42" i="3"/>
  <c r="F42" i="3"/>
  <c r="E42" i="3"/>
  <c r="D42" i="3"/>
  <c r="C42" i="3"/>
  <c r="B42" i="3"/>
  <c r="H41" i="3"/>
  <c r="G41" i="3"/>
  <c r="F41" i="3"/>
  <c r="E41" i="3"/>
  <c r="D41" i="3"/>
  <c r="C41" i="3"/>
  <c r="B41" i="3"/>
  <c r="I40" i="3"/>
  <c r="H40" i="3"/>
  <c r="G40" i="3"/>
  <c r="F40" i="3"/>
  <c r="E40" i="3"/>
  <c r="D40" i="3"/>
  <c r="C40" i="3"/>
  <c r="B40" i="3"/>
  <c r="I39" i="3"/>
  <c r="H39" i="3"/>
  <c r="G39" i="3"/>
  <c r="F39" i="3"/>
  <c r="E39" i="3"/>
  <c r="D39" i="3"/>
  <c r="C39" i="3"/>
  <c r="B39" i="3"/>
  <c r="I38" i="3"/>
  <c r="H38" i="3"/>
  <c r="G38" i="3"/>
  <c r="F38" i="3"/>
  <c r="E38" i="3"/>
  <c r="D38" i="3"/>
  <c r="C38" i="3"/>
  <c r="B38" i="3"/>
  <c r="I37" i="3"/>
  <c r="H37" i="3"/>
  <c r="G37" i="3"/>
  <c r="F37" i="3"/>
  <c r="E37" i="3"/>
  <c r="D37" i="3"/>
  <c r="C37" i="3"/>
  <c r="B37" i="3"/>
  <c r="I36" i="3"/>
  <c r="H36" i="3"/>
  <c r="G36" i="3"/>
  <c r="F36" i="3"/>
  <c r="E36" i="3"/>
  <c r="D36" i="3"/>
  <c r="C36" i="3"/>
  <c r="B36" i="3"/>
  <c r="I35" i="3"/>
  <c r="H35" i="3"/>
  <c r="G35" i="3"/>
  <c r="F35" i="3"/>
  <c r="E35" i="3"/>
  <c r="D35" i="3"/>
  <c r="C35" i="3"/>
  <c r="B35" i="3"/>
  <c r="I34" i="3"/>
  <c r="H34" i="3"/>
  <c r="G34" i="3"/>
  <c r="F34" i="3"/>
  <c r="E34" i="3"/>
  <c r="D34" i="3"/>
  <c r="C34" i="3"/>
  <c r="B34" i="3"/>
  <c r="I33" i="3"/>
  <c r="H33" i="3"/>
  <c r="G33" i="3"/>
  <c r="F33" i="3"/>
  <c r="E33" i="3"/>
  <c r="D33" i="3"/>
  <c r="C33" i="3"/>
  <c r="B33" i="3"/>
  <c r="I32" i="3"/>
  <c r="H32" i="3"/>
  <c r="G32" i="3"/>
  <c r="F32" i="3"/>
  <c r="E32" i="3"/>
  <c r="D32" i="3"/>
  <c r="C32" i="3"/>
  <c r="B32" i="3"/>
  <c r="I31" i="3"/>
  <c r="H31" i="3"/>
  <c r="G31" i="3"/>
  <c r="F31" i="3"/>
  <c r="E31" i="3"/>
  <c r="D31" i="3"/>
  <c r="C31" i="3"/>
  <c r="B31" i="3"/>
  <c r="I30" i="3"/>
  <c r="H30" i="3"/>
  <c r="H45" i="3" s="1"/>
  <c r="G30" i="3"/>
  <c r="F30" i="3"/>
  <c r="E30" i="3"/>
  <c r="D30" i="3"/>
  <c r="C30" i="3"/>
  <c r="C45" i="3" s="1"/>
  <c r="B30" i="3"/>
  <c r="C4" i="3"/>
  <c r="D45" i="3" l="1"/>
  <c r="E45" i="3"/>
  <c r="F45" i="3"/>
  <c r="E87" i="4"/>
  <c r="E89" i="4" s="1"/>
  <c r="E25" i="3" s="1"/>
  <c r="E17" i="3"/>
  <c r="I41" i="3"/>
  <c r="I45" i="3" s="1"/>
  <c r="I41" i="4"/>
  <c r="D72" i="4" s="1"/>
  <c r="D18" i="3" s="1"/>
  <c r="D15" i="3"/>
  <c r="D80" i="4"/>
  <c r="D82" i="4" s="1"/>
  <c r="D70" i="4"/>
  <c r="C80" i="4"/>
  <c r="C82" i="4" s="1"/>
  <c r="C70" i="4"/>
  <c r="C15" i="3"/>
  <c r="E75" i="4"/>
  <c r="E77" i="4" s="1"/>
  <c r="D75" i="4"/>
  <c r="D77" i="4" s="1"/>
  <c r="C75" i="4"/>
  <c r="C77" i="4" s="1"/>
  <c r="F46" i="4"/>
  <c r="F61" i="4" s="1"/>
  <c r="E68" i="4" s="1"/>
  <c r="E61" i="4"/>
  <c r="E67" i="4" s="1"/>
  <c r="E14" i="3" s="1"/>
  <c r="D17" i="3"/>
  <c r="D87" i="4"/>
  <c r="D89" i="4" s="1"/>
  <c r="D21" i="4"/>
  <c r="C66" i="4" s="1"/>
  <c r="C13" i="3" s="1"/>
  <c r="D61" i="4"/>
  <c r="E66" i="4" s="1"/>
  <c r="E13" i="3" s="1"/>
  <c r="H6" i="4"/>
  <c r="H21" i="4" s="1"/>
  <c r="C71" i="4" s="1"/>
  <c r="D73" i="4" l="1"/>
  <c r="D16" i="3"/>
  <c r="C83" i="4"/>
  <c r="C23" i="3" s="1"/>
  <c r="C20" i="3"/>
  <c r="C87" i="4"/>
  <c r="C89" i="4" s="1"/>
  <c r="C25" i="3" s="1"/>
  <c r="C17" i="3"/>
  <c r="N7" i="3"/>
  <c r="D25" i="3"/>
  <c r="E80" i="4"/>
  <c r="E82" i="4" s="1"/>
  <c r="E70" i="4"/>
  <c r="E15" i="3"/>
  <c r="D22" i="3"/>
  <c r="D83" i="4"/>
  <c r="D23" i="3" s="1"/>
  <c r="D20" i="3"/>
  <c r="E7" i="3"/>
  <c r="E20" i="3"/>
  <c r="E83" i="4"/>
  <c r="E23" i="3" s="1"/>
  <c r="C73" i="4"/>
  <c r="C16" i="3"/>
  <c r="C84" i="4"/>
  <c r="C24" i="3" s="1"/>
  <c r="C22" i="3"/>
  <c r="C19" i="3" l="1"/>
  <c r="C78" i="4"/>
  <c r="C21" i="3" s="1"/>
  <c r="E73" i="4"/>
  <c r="E16" i="3"/>
  <c r="D84" i="4"/>
  <c r="E84" i="4"/>
  <c r="E24" i="3" s="1"/>
  <c r="E22" i="3"/>
  <c r="D78" i="4"/>
  <c r="D19" i="3"/>
  <c r="B7" i="3"/>
  <c r="E78" i="4" l="1"/>
  <c r="E21" i="3" s="1"/>
  <c r="E19" i="3"/>
  <c r="D21" i="3"/>
  <c r="H7" i="3"/>
  <c r="D24" i="3"/>
  <c r="K7" i="3"/>
</calcChain>
</file>

<file path=xl/sharedStrings.xml><?xml version="1.0" encoding="utf-8"?>
<sst xmlns="http://schemas.openxmlformats.org/spreadsheetml/2006/main" count="174" uniqueCount="126">
  <si>
    <t>AY 2027-28 Enrollment &amp; Fund What-If Dashboard</t>
  </si>
  <si>
    <t>Built from your uploaded AY 27-28 financials. All figures in ₹ (INR).</t>
  </si>
  <si>
    <t>How to use</t>
  </si>
  <si>
    <t>1. Go to the Inputs tab. Pick a scenario (Pessimistic / Realistic / Optimistic) in the yellow cell at the top — every other sheet updates instantly.</t>
  </si>
  <si>
    <t>2. Every blue number on Inputs is editable — grade-wise new-joiner counts and their per-grade optimistic/pessimistic swing %, contribution % and its swing, fees, expenses, collection efficiency, cost variance, and fund balances.</t>
  </si>
  <si>
    <t>3. The Dashboard tab shows the headline P&amp;L, cash flow and fund position for whichever scenario is selected, plus a side-by-side comparison of all three scenarios and a chart.</t>
  </si>
  <si>
    <t>4. The Calculations tab is the engine — grade-by-grade math for all three scenarios. You normally won't need to edit it; everything you'd want to change lives on Inputs.</t>
  </si>
  <si>
    <t>Key modelling choices</t>
  </si>
  <si>
    <t>- New Joiners are NOT flexed by one blanket %. Each grade has its own pessimistic/optimistic swing, because a big grade (e.g. LKG) and a hard-to-fill grade (e.g. AS, equivalent to Grade 11) don't move the same way even with the same marketing spend. Grade 11 (AS) is deliberately given a smaller optimistic upside and a larger pessimistic downside than Grade 1 (I), per your instruction that AS admissions are harder to secure.</t>
  </si>
  <si>
    <t>- Returnable Contribution % (existing students, to the corpus/building fund) also gets its own pessimistic/optimistic range per grade, as a +/- percentage-point swing on the realistic %.</t>
  </si>
  <si>
    <t>- Contributions from existing students, and (optionally) the Advance from new joiners, are treated as a REFUNDABLE LIABILITY — they hit Cash Inflow and the Fund roll-forward, but are excluded from P&amp;L revenue. No interest is accrued on this balance, matching your note that contributions are returnable without interest.</t>
  </si>
  <si>
    <t>- Whether the Advance from new joiners is returnable or not is a Yes/No toggle on Inputs (default: Yes / returnable) since your brief only confirmed the treatment for existing-student contributions.</t>
  </si>
  <si>
    <t>- Tuition revenue is recognised on an accrual basis in the P&amp;L (Total Students x Base Fee); a Fee Collection Efficiency % (by scenario) is applied only in the cash flow, to reflect real-world collection risk.</t>
  </si>
  <si>
    <t>- Operating expenses are taken from your source file and flexed by a single Cost Variance % per scenario (cost overrun risk in Pessimistic, savings in Optimistic).</t>
  </si>
  <si>
    <t>- The 'Fee Increase %' row on Inputs is carried over from your source file for reference only (it wasn't used to split existing vs. new-joiner pricing, since no prior-year fee was supplied) — both existing and new students are billed at this year's Base Fee. Edit Base Fee directly if you'd rather price the two groups differently.</t>
  </si>
  <si>
    <t>Colour legend</t>
  </si>
  <si>
    <t>Blue text = your editable input</t>
  </si>
  <si>
    <t>Black text = live formula (don't overwrite)</t>
  </si>
  <si>
    <t>Green text = link pulled from another sheet</t>
  </si>
  <si>
    <t>Yellow fill = key scenario / toggle controls</t>
  </si>
  <si>
    <t>Inputs &amp; Assumptions</t>
  </si>
  <si>
    <t>Edit any blue cell. Grades are rows, so each grade can have its own new-joiner / contribution swing (no blanket %).</t>
  </si>
  <si>
    <t>Active Scenario</t>
  </si>
  <si>
    <t>Realistic</t>
  </si>
  <si>
    <t>Treat 'Advance per New Joiner' as returnable (liability), not revenue?</t>
  </si>
  <si>
    <t>Yes</t>
  </si>
  <si>
    <t>Grade-wise enrollment, fee &amp; contribution assumptions</t>
  </si>
  <si>
    <t>Grade</t>
  </si>
  <si>
    <t>Existing
Students</t>
  </si>
  <si>
    <t>Base Fee
(₹)</t>
  </si>
  <si>
    <t>Fee Increase %
(reference only)</t>
  </si>
  <si>
    <t>New Joiners
- Realistic</t>
  </si>
  <si>
    <t>New Joiners
Pessimistic Δ%</t>
  </si>
  <si>
    <t>New Joiners
Optimistic Δ%</t>
  </si>
  <si>
    <t>Contribution %
- Realistic
(existing students)</t>
  </si>
  <si>
    <t>Contribution
Pessimistic Δ (pp)</t>
  </si>
  <si>
    <t>Contribution
Optimistic Δ (pp)</t>
  </si>
  <si>
    <t>Contribution per
Student (₹)</t>
  </si>
  <si>
    <t>Advance per
New Joiner (₹)</t>
  </si>
  <si>
    <t>Pre-KG</t>
  </si>
  <si>
    <t>LKG</t>
  </si>
  <si>
    <t>UKG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</si>
  <si>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</si>
  <si>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</si>
  <si>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</si>
  <si>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</si>
  <si>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</si>
  <si>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</si>
  <si>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</si>
  <si>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</si>
  <si>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</si>
  <si>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</si>
  <si>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AS</t>
  </si>
  <si>
    <t>A2</t>
  </si>
  <si>
    <t>Total</t>
  </si>
  <si>
    <t>Annual operating expenses (AY 2027-28 budget)</t>
  </si>
  <si>
    <t>Expense item</t>
  </si>
  <si>
    <t>Annual Amount (₹)</t>
  </si>
  <si>
    <t>Teacher salaries</t>
  </si>
  <si>
    <t>Rent</t>
  </si>
  <si>
    <t>Other core operating expenses</t>
  </si>
  <si>
    <t>Cambridge affiliation</t>
  </si>
  <si>
    <t>Safety / essential maintenance</t>
  </si>
  <si>
    <t>Property purchase loan servicing</t>
  </si>
  <si>
    <t>Growth marketing</t>
  </si>
  <si>
    <t>Additional / discretionary maintenance</t>
  </si>
  <si>
    <t>International obligations</t>
  </si>
  <si>
    <t>Miscellaneous Expenses</t>
  </si>
  <si>
    <t>Total Operating Expenses</t>
  </si>
  <si>
    <t>Scenario overlays</t>
  </si>
  <si>
    <t>Scenario</t>
  </si>
  <si>
    <t>Fee Collection
Efficiency %</t>
  </si>
  <si>
    <t>Cost Variance %
(vs. budget)</t>
  </si>
  <si>
    <t>Pessimistic</t>
  </si>
  <si>
    <t>Optimistic</t>
  </si>
  <si>
    <t>Returnable fund (corpus) balances</t>
  </si>
  <si>
    <t>Opening Balance of Returnable Fund, 1-Apr-2027 (₹)</t>
  </si>
  <si>
    <t>Refunds Paid to Leaving Students during AY 2027-28 (₹)</t>
  </si>
  <si>
    <t>AY 2027-28 What-If Dashboard</t>
  </si>
  <si>
    <t>Enrollment, returnable contributions, cash flow &amp; P&amp;L — scenario planning</t>
  </si>
  <si>
    <t>Active Scenario:</t>
  </si>
  <si>
    <t>(change it on the Inputs tab — every number below updates)</t>
  </si>
  <si>
    <t>Total Cash Inflow</t>
  </si>
  <si>
    <t>Total Cash Outflow</t>
  </si>
  <si>
    <t>Net Cash Flow</t>
  </si>
  <si>
    <t>P&amp;L Net Surplus / (Deficit)</t>
  </si>
  <si>
    <t>Returnable Fund — Closing Balance</t>
  </si>
  <si>
    <t>Scenario Comparison — P&amp;L &amp; Cash Flow</t>
  </si>
  <si>
    <t>Metric</t>
  </si>
  <si>
    <t>New Joiners (count)</t>
  </si>
  <si>
    <t>Total Students</t>
  </si>
  <si>
    <t>Tuition Fee Revenue (₹, accrual)</t>
  </si>
  <si>
    <t>Tuition Fee Cash Collected (₹)</t>
  </si>
  <si>
    <t>Returnable Contribution Collected (₹)</t>
  </si>
  <si>
    <t>Advance from New Joiners Collected (₹)</t>
  </si>
  <si>
    <t>Total Cash Inflow (₹)</t>
  </si>
  <si>
    <t>Total Cash Outflow (₹)</t>
  </si>
  <si>
    <t>Net Cash Flow (₹)</t>
  </si>
  <si>
    <t>P&amp;L Total Revenue (₹)</t>
  </si>
  <si>
    <t>P&amp;L Total Operating Expenses (₹)</t>
  </si>
  <si>
    <t>P&amp;L Net Surplus / (Deficit) (₹)</t>
  </si>
  <si>
    <t>Returnable Fund — Closing Balance (₹)</t>
  </si>
  <si>
    <t>Grade-wise Detail — Active Scenario</t>
  </si>
  <si>
    <t>New
Joiners</t>
  </si>
  <si>
    <t>Total
Students</t>
  </si>
  <si>
    <t>Tuition Fee
Revenue (₹)</t>
  </si>
  <si>
    <t>Contribution
%</t>
  </si>
  <si>
    <t>Contribution
Collected (₹)</t>
  </si>
  <si>
    <t>Advance
Collected (₹)</t>
  </si>
  <si>
    <t>Calculations — Scenario Engine</t>
  </si>
  <si>
    <t>Grade-by-grade math for each scenario. Everything here is a formula pulling from Inputs — normally no need to edit.</t>
  </si>
  <si>
    <t>PESSIMISTIC SCENARIO</t>
  </si>
  <si>
    <t>REALISTIC SCENARIO</t>
  </si>
  <si>
    <t>OPTIMISTIC SCENARIO</t>
  </si>
  <si>
    <t>SCENARIO SUMMARY — AY 2027-28</t>
  </si>
  <si>
    <t>Fee Collection Efficiency %</t>
  </si>
  <si>
    <t>Total Operating Expenses — Budget (₹)</t>
  </si>
  <si>
    <t>Cost Variance %</t>
  </si>
  <si>
    <t>P&amp;L — Tuition Fee Revenue (₹)</t>
  </si>
  <si>
    <t>P&amp;L — Advance Revenue (₹, only if not returnable)</t>
  </si>
  <si>
    <t>P&amp;L — Total Revenue (₹)</t>
  </si>
  <si>
    <t>P&amp;L — Total Operating Expenses (₹)</t>
  </si>
  <si>
    <t>P&amp;L — Net Surplus / (Deficit) (₹)</t>
  </si>
  <si>
    <t>Returnable Fund — Opening Balance (₹)</t>
  </si>
  <si>
    <t>Returnable Fund — Additions (₹)</t>
  </si>
  <si>
    <t>Returnable Fund — Refunds Paid (₹)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</si>
</sst>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-"/>
    <numFmt numFmtId="165" formatCode="\₹#,##0;&quot;(₹&quot;#,##0\);\-"/>
    <numFmt numFmtId="166" formatCode="0.0%;\(0.0%\);\-"/>
  </numFmts>
  <fonts count="13" x14ac:knownFonts="1">
    <font>
      <sz val="11"/>
      <color theme="1"/>
      <name val="Calibri"/>
      <family val="2"/>
      <charset val="1"/>
    </font>
    <font>
      <b/>
      <sz val="14"/>
      <color rgb="FF1F3864"/>
      <name val="Arial"/>
      <family val="2"/>
    </font>
    <font>
      <i/>
      <sz val="10"/>
      <color rgb="FF595959"/>
      <name val="Arial"/>
      <family val="2"/>
    </font>
    <font>
      <b/>
      <sz val="11"/>
      <color rgb="FF1F3864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sz val="10"/>
      <color rgb="FF008000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rgb="FFFFFFFF"/>
      <name val="Arial"/>
      <family val="2"/>
    </font>
    <font>
      <b/>
      <sz val="9"/>
      <color rgb="FF1F3864"/>
      <name val="Arial"/>
      <family val="2"/>
    </font>
    <font>
      <b/>
      <sz val="12"/>
      <color rgb="FF1F3864"/>
      <name val="Arial"/>
      <family val="2"/>
    </font>
    <font>
      <b/>
      <sz val="9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5496"/>
        <bgColor rgb="FF1F3864"/>
      </patternFill>
    </fill>
    <fill>
      <patternFill patternType="solid">
        <fgColor rgb="FFD9E1F2"/>
        <bgColor rgb="FFD9D9D9"/>
      </patternFill>
    </fill>
    <fill>
      <patternFill patternType="solid">
        <fgColor rgb="FFF2F2F2"/>
        <bgColor rgb="FFF2F6FC"/>
      </patternFill>
    </fill>
    <fill>
      <patternFill patternType="solid">
        <fgColor rgb="FFF2F6FC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4" fillId="0" borderId="0" xfId="0" applyFont="1"/>
    <xf numFmtId="0" fontId="7" fillId="0" borderId="0" xfId="0" applyFont="1"/>
    <xf numFmtId="0" fontId="6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9" fillId="3" borderId="0" xfId="0" applyFont="1" applyFill="1"/>
    <xf numFmtId="165" fontId="1" fillId="6" borderId="0" xfId="0" applyNumberFormat="1" applyFont="1" applyFill="1" applyAlignment="1">
      <alignment horizontal="center" vertical="center"/>
    </xf>
    <xf numFmtId="0" fontId="12" fillId="3" borderId="0" xfId="0" applyFont="1" applyFill="1" applyAlignment="1">
      <alignment horizontal="center" wrapText="1"/>
    </xf>
    <xf numFmtId="0" fontId="2" fillId="0" borderId="0" xfId="0" applyFont="1"/>
    <xf numFmtId="0" fontId="11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  <xf numFmtId="0" fontId="7" fillId="0" borderId="0" xfId="0" applyFont="1"/>
    <xf numFmtId="0" fontId="8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0" fillId="4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164" fontId="5" fillId="0" borderId="1" xfId="0" applyNumberFormat="1" applyFont="1" applyBorder="1" applyAlignment="1">
      <alignment horizontal="center"/>
    </xf>
    <xf numFmtId="165" fontId="5" fillId="0" borderId="1" xfId="0" applyNumberFormat="1" applyFont="1" applyBorder="1" applyAlignment="1">
      <alignment horizontal="center"/>
    </xf>
    <xf numFmtId="166" fontId="5" fillId="0" borderId="1" xfId="0" applyNumberFormat="1" applyFont="1" applyBorder="1" applyAlignment="1">
      <alignment horizontal="center"/>
    </xf>
    <xf numFmtId="0" fontId="7" fillId="5" borderId="0" xfId="0" applyFont="1" applyFill="1"/>
    <xf numFmtId="164" fontId="7" fillId="5" borderId="1" xfId="0" applyNumberFormat="1" applyFont="1" applyFill="1" applyBorder="1"/>
    <xf numFmtId="0" fontId="0" fillId="5" borderId="0" xfId="0" applyFill="1"/>
    <xf numFmtId="0" fontId="10" fillId="4" borderId="1" xfId="0" applyFont="1" applyFill="1" applyBorder="1"/>
    <xf numFmtId="0" fontId="4" fillId="0" borderId="1" xfId="0" applyFont="1" applyBorder="1"/>
    <xf numFmtId="165" fontId="5" fillId="0" borderId="1" xfId="0" applyNumberFormat="1" applyFont="1" applyBorder="1"/>
    <xf numFmtId="0" fontId="7" fillId="5" borderId="1" xfId="0" applyFont="1" applyFill="1" applyBorder="1"/>
    <xf numFmtId="165" fontId="7" fillId="5" borderId="1" xfId="0" applyNumberFormat="1" applyFont="1" applyFill="1" applyBorder="1"/>
    <xf numFmtId="0" fontId="10" fillId="4" borderId="1" xfId="0" applyFont="1" applyFill="1" applyBorder="1" applyAlignment="1">
      <alignment horizontal="center" wrapText="1"/>
    </xf>
    <xf numFmtId="165" fontId="5" fillId="2" borderId="1" xfId="0" applyNumberFormat="1" applyFont="1" applyFill="1" applyBorder="1"/>
    <xf numFmtId="0" fontId="10" fillId="4" borderId="1" xfId="0" applyFont="1" applyFill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165" fontId="6" fillId="5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left"/>
    </xf>
    <xf numFmtId="166" fontId="6" fillId="0" borderId="1" xfId="0" applyNumberFormat="1" applyFont="1" applyBorder="1" applyAlignment="1">
      <alignment horizontal="center"/>
    </xf>
    <xf numFmtId="164" fontId="7" fillId="5" borderId="1" xfId="0" applyNumberFormat="1" applyFont="1" applyFill="1" applyBorder="1" applyAlignment="1">
      <alignment horizontal="center"/>
    </xf>
    <xf numFmtId="165" fontId="7" fillId="5" borderId="1" xfId="0" applyNumberFormat="1" applyFont="1" applyFill="1" applyBorder="1" applyAlignment="1">
      <alignment horizontal="center"/>
    </xf>
    <xf numFmtId="0" fontId="0" fillId="5" borderId="1" xfId="0" applyFill="1" applyBorder="1"/>
    <xf numFmtId="164" fontId="4" fillId="0" borderId="1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166" fontId="4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9F9F9"/>
      <rgbColor rgb="FFF2F6FC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9E1F2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Net Cash Flow vs. Net Surplus/(Deficit) by Scenario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Calculations!$B$78</c:f>
              <c:strCache>
                <c:ptCount val="1"/>
                <c:pt idx="0">
                  <c:v>Net Cash Flow (₹)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Calculations!$C$65:$E$65</c:f>
              <c:strCache>
                <c:ptCount val="3"/>
                <c:pt idx="0">
                  <c:v>Pessimistic</c:v>
                </c:pt>
                <c:pt idx="1">
                  <c:v>Realistic</c:v>
                </c:pt>
                <c:pt idx="2">
                  <c:v>Optimistic</c:v>
                </c:pt>
              </c:strCache>
            </c:strRef>
          </c:cat>
          <c:val>
            <c:numRef>
              <c:f>Calculations!$C$78:$E$78</c:f>
              <c:numCache>
                <c:formatCode>\₹#,##0;"(₹"#,##0\);\-</c:formatCode>
                <c:ptCount val="3"/>
                <c:pt idx="0">
                  <c:v>-13762430.883333325</c:v>
                </c:pt>
                <c:pt idx="1">
                  <c:v>5348581.6666666716</c:v>
                </c:pt>
                <c:pt idx="2">
                  <c:v>33061090.033333346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2B-4F14-A5DF-54CD401676FF}"/>
            </c:ext>
          </c:extLst>
        </c:ser>
        <c:ser>
          <c:idx val="1"/>
          <c:order val="1"/>
          <c:tx>
            <c:strRef>
              <c:f>Calculations!$B$84</c:f>
              <c:strCache>
                <c:ptCount val="1"/>
                <c:pt idx="0">
                  <c:v>P&amp;L — Net Surplus / (Deficit) (₹)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Calculations!$C$65:$E$65</c:f>
              <c:strCache>
                <c:ptCount val="3"/>
                <c:pt idx="0">
                  <c:v>Pessimistic</c:v>
                </c:pt>
                <c:pt idx="1">
                  <c:v>Realistic</c:v>
                </c:pt>
                <c:pt idx="2">
                  <c:v>Optimistic</c:v>
                </c:pt>
              </c:strCache>
            </c:strRef>
          </c:cat>
          <c:val>
            <c:numRef>
              <c:f>Calculations!$C$84:$E$84</c:f>
              <c:numCache>
                <c:formatCode>\₹#,##0;"(₹"#,##0\);\-</c:formatCode>
                <c:ptCount val="3"/>
                <c:pt idx="0">
                  <c:v>-2284230.8833333254</c:v>
                </c:pt>
                <c:pt idx="1">
                  <c:v>6379581.6666666716</c:v>
                </c:pt>
                <c:pt idx="2">
                  <c:v>13017790.033333346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2B-4F14-A5DF-54CD401676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202221"/>
        <c:axId val="28709252"/>
      </c:barChart>
      <c:catAx>
        <c:axId val="3120222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Scenario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8709252"/>
        <c:crosses val="autoZero"/>
        <c:auto val="1"/>
        <c:lblAlgn val="ctr"/>
        <c:lblOffset val="100"/>
        <c:noMultiLvlLbl val="0"/>
      </c:catAx>
      <c:valAx>
        <c:axId val="287092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₹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;&quot;(₹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12022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46</xdr:row>
      <xdr:rowOff>160560</xdr:rowOff>
    </xdr:from>
    <xdr:to>
      <xdr:col>6</xdr:col>
      <xdr:colOff>417960</xdr:colOff>
      <xdr:row>61</xdr:row>
      <xdr:rowOff>182880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24"/>
  <sheetViews>
    <sheetView showGridLines="0" zoomScaleNormal="100" workbookViewId="0">
      <selection activeCell="B12" sqref="B12:L12"/>
    </sheetView>
  </sheetViews>
  <sheetFormatPr defaultColWidth="8.6640625" defaultRowHeight="14.4" x14ac:dyDescent="0.3"/>
  <cols>
    <col min="1" max="1" width="2" customWidth="1"/>
    <col min="2" max="12" width="11" customWidth="1"/>
  </cols>
  <sheetData>
    <row r="2" spans="2:12" ht="17.399999999999999" x14ac:dyDescent="0.3">
      <c r="B2" s="12" t="s">
        <v>0</v>
      </c>
    </row>
    <row r="3" spans="2:12" x14ac:dyDescent="0.3">
      <c r="B3" s="13" t="s">
        <v>1</v>
      </c>
    </row>
    <row r="5" spans="2:12" ht="15" customHeight="1" x14ac:dyDescent="0.3">
      <c r="B5" s="6" t="s">
        <v>2</v>
      </c>
      <c r="C5" s="6"/>
      <c r="D5" s="6"/>
      <c r="E5" s="6"/>
      <c r="F5" s="6"/>
      <c r="G5" s="6"/>
      <c r="H5" s="6"/>
      <c r="I5" s="6"/>
      <c r="J5" s="6"/>
      <c r="K5" s="6"/>
      <c r="L5" s="6"/>
    </row>
    <row r="6" spans="2:12" ht="27.75" customHeight="1" x14ac:dyDescent="0.3">
      <c r="B6" s="5" t="s">
        <v>3</v>
      </c>
      <c r="C6" s="5"/>
      <c r="D6" s="5"/>
      <c r="E6" s="5"/>
      <c r="F6" s="5"/>
      <c r="G6" s="5"/>
      <c r="H6" s="5"/>
      <c r="I6" s="5"/>
      <c r="J6" s="5"/>
      <c r="K6" s="5"/>
      <c r="L6" s="5"/>
    </row>
    <row r="7" spans="2:12" ht="27.75" customHeight="1" x14ac:dyDescent="0.3">
      <c r="B7" s="5" t="s">
        <v>4</v>
      </c>
      <c r="C7" s="5"/>
      <c r="D7" s="5"/>
      <c r="E7" s="5"/>
      <c r="F7" s="5"/>
      <c r="G7" s="5"/>
      <c r="H7" s="5"/>
      <c r="I7" s="5"/>
      <c r="J7" s="5"/>
      <c r="K7" s="5"/>
      <c r="L7" s="5"/>
    </row>
    <row r="8" spans="2:12" ht="27.75" customHeight="1" x14ac:dyDescent="0.3">
      <c r="B8" s="5" t="s">
        <v>5</v>
      </c>
      <c r="C8" s="5"/>
      <c r="D8" s="5"/>
      <c r="E8" s="5"/>
      <c r="F8" s="5"/>
      <c r="G8" s="5"/>
      <c r="H8" s="5"/>
      <c r="I8" s="5"/>
      <c r="J8" s="5"/>
      <c r="K8" s="5"/>
      <c r="L8" s="5"/>
    </row>
    <row r="9" spans="2:12" ht="27.75" customHeight="1" x14ac:dyDescent="0.3">
      <c r="B9" s="5" t="s">
        <v>6</v>
      </c>
      <c r="C9" s="5"/>
      <c r="D9" s="5"/>
      <c r="E9" s="5"/>
      <c r="F9" s="5"/>
      <c r="G9" s="5"/>
      <c r="H9" s="5"/>
      <c r="I9" s="5"/>
      <c r="J9" s="5"/>
      <c r="K9" s="5"/>
      <c r="L9" s="5"/>
    </row>
    <row r="10" spans="2:12" ht="15" customHeight="1" x14ac:dyDescent="0.3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2:12" ht="15" customHeight="1" x14ac:dyDescent="0.3">
      <c r="B11" s="6" t="s">
        <v>7</v>
      </c>
      <c r="C11" s="6"/>
      <c r="D11" s="6"/>
      <c r="E11" s="6"/>
      <c r="F11" s="6"/>
      <c r="G11" s="6"/>
      <c r="H11" s="6"/>
      <c r="I11" s="6"/>
      <c r="J11" s="6"/>
      <c r="K11" s="6"/>
      <c r="L11" s="6"/>
    </row>
    <row r="12" spans="2:12" ht="43.2" customHeight="1" x14ac:dyDescent="0.3">
      <c r="B12" s="5" t="s">
        <v>8</v>
      </c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2:12" ht="27.75" customHeight="1" x14ac:dyDescent="0.3">
      <c r="B13" s="5" t="s">
        <v>9</v>
      </c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2:12" ht="27.75" customHeight="1" x14ac:dyDescent="0.3">
      <c r="B14" s="5" t="s">
        <v>10</v>
      </c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27.75" customHeight="1" x14ac:dyDescent="0.3">
      <c r="B15" s="5" t="s">
        <v>11</v>
      </c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2:12" ht="27.75" customHeight="1" x14ac:dyDescent="0.3">
      <c r="B16" s="5" t="s">
        <v>12</v>
      </c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2:12" ht="27.75" customHeight="1" x14ac:dyDescent="0.3">
      <c r="B17" s="5" t="s">
        <v>13</v>
      </c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2:12" ht="27.75" customHeight="1" x14ac:dyDescent="0.3">
      <c r="B18" s="5" t="s">
        <v>14</v>
      </c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2:12" ht="15" customHeight="1" x14ac:dyDescent="0.3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2:12" ht="15" customHeight="1" x14ac:dyDescent="0.3">
      <c r="B20" s="6" t="s">
        <v>15</v>
      </c>
      <c r="C20" s="6"/>
      <c r="D20" s="6"/>
      <c r="E20" s="6"/>
      <c r="F20" s="6"/>
      <c r="G20" s="6"/>
      <c r="H20" s="6"/>
      <c r="I20" s="6"/>
      <c r="J20" s="6"/>
      <c r="K20" s="6"/>
      <c r="L20" s="6"/>
    </row>
    <row r="21" spans="2:12" ht="15" customHeight="1" x14ac:dyDescent="0.3">
      <c r="B21" s="4" t="s">
        <v>16</v>
      </c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2:12" ht="15" customHeight="1" x14ac:dyDescent="0.3">
      <c r="B22" s="5" t="s">
        <v>17</v>
      </c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2:12" ht="15" customHeight="1" x14ac:dyDescent="0.3">
      <c r="B23" s="3" t="s">
        <v>18</v>
      </c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2:12" ht="15" customHeight="1" x14ac:dyDescent="0.3">
      <c r="B24" s="5" t="s">
        <v>19</v>
      </c>
      <c r="C24" s="5"/>
      <c r="D24" s="5"/>
      <c r="E24" s="5"/>
      <c r="F24" s="5"/>
      <c r="G24" s="5"/>
      <c r="H24" s="5"/>
      <c r="I24" s="5"/>
      <c r="J24" s="5"/>
      <c r="K24" s="5"/>
      <c r="L24" s="5"/>
    </row>
  </sheetData>
  <mergeCells count="20">
    <mergeCell ref="B20:L20"/>
    <mergeCell ref="B21:L21"/>
    <mergeCell ref="B22:L22"/>
    <mergeCell ref="B23:L23"/>
    <mergeCell ref="B24:L24"/>
    <mergeCell ref="B15:L15"/>
    <mergeCell ref="B16:L16"/>
    <mergeCell ref="B17:L17"/>
    <mergeCell ref="B18:L18"/>
    <mergeCell ref="B19:L19"/>
    <mergeCell ref="B10:L10"/>
    <mergeCell ref="B11:L11"/>
    <mergeCell ref="B12:L12"/>
    <mergeCell ref="B13:L13"/>
    <mergeCell ref="B14:L14"/>
    <mergeCell ref="B5:L5"/>
    <mergeCell ref="B6:L6"/>
    <mergeCell ref="B7:L7"/>
    <mergeCell ref="B8:L8"/>
    <mergeCell ref="B9:L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47"/>
  <sheetViews>
    <sheetView showGridLines="0" zoomScaleNormal="100" workbookViewId="0">
      <selection activeCell="E12" sqref="E12"/>
    </sheetView>
  </sheetViews>
  <sheetFormatPr defaultColWidth="8.6640625" defaultRowHeight="14.4" x14ac:dyDescent="0.3"/>
  <cols>
    <col min="2" max="2" width="30" customWidth="1"/>
    <col min="3" max="3" width="23" customWidth="1"/>
    <col min="4" max="11" width="12" customWidth="1"/>
    <col min="12" max="13" width="13" customWidth="1"/>
  </cols>
  <sheetData>
    <row r="1" spans="2:13" ht="17.399999999999999" x14ac:dyDescent="0.3">
      <c r="B1" s="12" t="s">
        <v>20</v>
      </c>
    </row>
    <row r="2" spans="2:13" x14ac:dyDescent="0.3">
      <c r="B2" s="13" t="s">
        <v>21</v>
      </c>
    </row>
    <row r="4" spans="2:13" x14ac:dyDescent="0.3">
      <c r="B4" s="14" t="s">
        <v>22</v>
      </c>
      <c r="C4" s="15" t="s">
        <v>23</v>
      </c>
      <c r="E4" s="2" t="s">
        <v>24</v>
      </c>
      <c r="F4" s="2"/>
      <c r="G4" s="2"/>
      <c r="H4" s="2"/>
      <c r="I4" s="2"/>
      <c r="J4" s="16" t="s">
        <v>25</v>
      </c>
    </row>
    <row r="6" spans="2:13" x14ac:dyDescent="0.3">
      <c r="B6" s="7" t="s">
        <v>26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2:13" ht="42" customHeight="1" x14ac:dyDescent="0.3">
      <c r="B7" s="17" t="s">
        <v>27</v>
      </c>
      <c r="C7" s="17" t="s">
        <v>28</v>
      </c>
      <c r="D7" s="17" t="s">
        <v>29</v>
      </c>
      <c r="E7" s="17" t="s">
        <v>30</v>
      </c>
      <c r="F7" s="17" t="s">
        <v>31</v>
      </c>
      <c r="G7" s="17" t="s">
        <v>32</v>
      </c>
      <c r="H7" s="17" t="s">
        <v>33</v>
      </c>
      <c r="I7" s="17" t="s">
        <v>34</v>
      </c>
      <c r="J7" s="17" t="s">
        <v>35</v>
      </c>
      <c r="K7" s="17" t="s">
        <v>36</v>
      </c>
      <c r="L7" s="17" t="s">
        <v>37</v>
      </c>
      <c r="M7" s="17" t="s">
        <v>38</v>
      </c>
    </row>
    <row r="8" spans="2:13" x14ac:dyDescent="0.3">
      <c r="B8" s="18" t="s">
        <v>39</v>
      </c>
      <c r="C8" s="19">
        <v>0</v>
      </c>
      <c r="D8" s="20"/>
      <c r="E8" s="21"/>
      <c r="F8" s="19">
        <v>0</v>
      </c>
      <c r="G8" s="21">
        <v>0</v>
      </c>
      <c r="H8" s="21">
        <v>0</v>
      </c>
      <c r="I8" s="21"/>
      <c r="J8" s="21">
        <v>0</v>
      </c>
      <c r="K8" s="21">
        <v>0</v>
      </c>
      <c r="L8" s="20"/>
      <c r="M8" s="20"/>
    </row>
    <row r="9" spans="2:13" x14ac:dyDescent="0.3">
      <c r="B9" s="18" t="s">
        <v>40</v>
      </c>
      <c r="C9" s="19">
        <v>4</v>
      </c>
      <c r="D9" s="20">
        <v>210000</v>
      </c>
      <c r="E9" s="21">
        <v>0</v>
      </c>
      <c r="F9" s="19">
        <v>26</v>
      </c>
      <c r="G9" s="21">
        <v>-0.2</v>
      </c>
      <c r="H9" s="21">
        <v>0.2</v>
      </c>
      <c r="I9" s="21">
        <v>0</v>
      </c>
      <c r="J9" s="21">
        <v>0</v>
      </c>
      <c r="K9" s="21">
        <v>0</v>
      </c>
      <c r="L9" s="20"/>
      <c r="M9" s="20">
        <v>100000</v>
      </c>
    </row>
    <row r="10" spans="2:13" x14ac:dyDescent="0.3">
      <c r="B10" s="18" t="s">
        <v>41</v>
      </c>
      <c r="C10" s="19">
        <v>15</v>
      </c>
      <c r="D10" s="20">
        <v>201000</v>
      </c>
      <c r="E10" s="21">
        <v>0</v>
      </c>
      <c r="F10" s="19">
        <v>15</v>
      </c>
      <c r="G10" s="21">
        <v>-0.15</v>
      </c>
      <c r="H10" s="21">
        <v>0.2</v>
      </c>
      <c r="I10" s="21">
        <v>0</v>
      </c>
      <c r="J10" s="21">
        <v>0</v>
      </c>
      <c r="K10" s="21">
        <v>0</v>
      </c>
      <c r="L10" s="20"/>
      <c r="M10" s="20">
        <v>100000</v>
      </c>
    </row>
    <row r="11" spans="2:13" x14ac:dyDescent="0.3">
      <c r="B11" s="18" t="s">
        <v>42</v>
      </c>
      <c r="C11" s="19">
        <v>23</v>
      </c>
      <c r="D11" s="20">
        <v>217000</v>
      </c>
      <c r="E11" s="21">
        <v>0</v>
      </c>
      <c r="F11" s="19">
        <v>14</v>
      </c>
      <c r="G11" s="21">
        <v>-0.15</v>
      </c>
      <c r="H11" s="21">
        <v>0.25</v>
      </c>
      <c r="I11" s="21">
        <v>0</v>
      </c>
      <c r="J11" s="21">
        <v>0</v>
      </c>
      <c r="K11" s="21">
        <v>0</v>
      </c>
      <c r="L11" s="20"/>
      <c r="M11" s="20">
        <v>100000</v>
      </c>
    </row>
    <row r="12" spans="2:13" x14ac:dyDescent="0.3">
      <c r="B12" s="18" t="s">
        <v>43</v>
      </c>
      <c r="C12" s="19">
        <v>33</v>
      </c>
      <c r="D12" s="20">
        <v>217000</v>
      </c>
      <c r="E12" s="21">
        <v>0.2</v>
      </c>
      <c r="F12" s="19">
        <v>0</v>
      </c>
      <c r="G12" s="21">
        <v>-0.25</v>
      </c>
      <c r="H12" s="21">
        <v>0.15</v>
      </c>
      <c r="I12" s="21">
        <v>0</v>
      </c>
      <c r="J12" s="21">
        <v>0</v>
      </c>
      <c r="K12" s="21">
        <v>0</v>
      </c>
      <c r="L12" s="20"/>
      <c r="M12" s="20">
        <v>100000</v>
      </c>
    </row>
    <row r="13" spans="2:13" x14ac:dyDescent="0.3">
      <c r="B13" s="18" t="s">
        <v>44</v>
      </c>
      <c r="C13" s="19">
        <v>34</v>
      </c>
      <c r="D13" s="20">
        <v>227000</v>
      </c>
      <c r="E13" s="21">
        <v>0.2</v>
      </c>
      <c r="F13" s="19">
        <v>0</v>
      </c>
      <c r="G13" s="21">
        <v>-0.25</v>
      </c>
      <c r="H13" s="21">
        <v>0.15</v>
      </c>
      <c r="I13" s="21">
        <v>0</v>
      </c>
      <c r="J13" s="21">
        <v>0</v>
      </c>
      <c r="K13" s="21">
        <v>0</v>
      </c>
      <c r="L13" s="20"/>
      <c r="M13" s="20">
        <v>100000</v>
      </c>
    </row>
    <row r="14" spans="2:13" x14ac:dyDescent="0.3">
      <c r="B14" s="18" t="s">
        <v>45</v>
      </c>
      <c r="C14" s="19">
        <v>32</v>
      </c>
      <c r="D14" s="20">
        <v>232000</v>
      </c>
      <c r="E14" s="21">
        <v>0.2</v>
      </c>
      <c r="F14" s="19">
        <v>0</v>
      </c>
      <c r="G14" s="21">
        <v>-0.25</v>
      </c>
      <c r="H14" s="21">
        <v>0.15</v>
      </c>
      <c r="I14" s="21">
        <v>0</v>
      </c>
      <c r="J14" s="21">
        <v>0</v>
      </c>
      <c r="K14" s="21">
        <v>0</v>
      </c>
      <c r="L14" s="20"/>
      <c r="M14" s="20">
        <v>100000</v>
      </c>
    </row>
    <row r="15" spans="2:13" x14ac:dyDescent="0.3">
      <c r="B15" s="18" t="s">
        <v>46</v>
      </c>
      <c r="C15" s="19">
        <v>31</v>
      </c>
      <c r="D15" s="20">
        <v>254000</v>
      </c>
      <c r="E15" s="21">
        <v>0.2</v>
      </c>
      <c r="F15" s="19">
        <v>1</v>
      </c>
      <c r="G15" s="21">
        <v>-0.25</v>
      </c>
      <c r="H15" s="21">
        <v>0.15</v>
      </c>
      <c r="I15" s="21">
        <v>0</v>
      </c>
      <c r="J15" s="21">
        <v>0</v>
      </c>
      <c r="K15" s="21">
        <v>0</v>
      </c>
      <c r="L15" s="20"/>
      <c r="M15" s="20">
        <v>100000</v>
      </c>
    </row>
    <row r="16" spans="2:13" x14ac:dyDescent="0.3">
      <c r="B16" s="18" t="s">
        <v>47</v>
      </c>
      <c r="C16" s="19">
        <v>31</v>
      </c>
      <c r="D16" s="20">
        <v>270000</v>
      </c>
      <c r="E16" s="21">
        <v>0.2</v>
      </c>
      <c r="F16" s="19">
        <v>1</v>
      </c>
      <c r="G16" s="21">
        <v>-0.2</v>
      </c>
      <c r="H16" s="21">
        <v>0.15</v>
      </c>
      <c r="I16" s="21">
        <v>0.2</v>
      </c>
      <c r="J16" s="21">
        <v>-0.1</v>
      </c>
      <c r="K16" s="21">
        <v>0.1</v>
      </c>
      <c r="L16" s="20">
        <v>200000</v>
      </c>
      <c r="M16" s="20">
        <v>100000</v>
      </c>
    </row>
    <row r="17" spans="2:13" x14ac:dyDescent="0.3">
      <c r="B17" s="18" t="s">
        <v>48</v>
      </c>
      <c r="C17" s="19">
        <v>27</v>
      </c>
      <c r="D17" s="20">
        <v>288000</v>
      </c>
      <c r="E17" s="21">
        <v>0.2</v>
      </c>
      <c r="F17" s="19">
        <v>3</v>
      </c>
      <c r="G17" s="21">
        <v>-0.2</v>
      </c>
      <c r="H17" s="21">
        <v>0.15</v>
      </c>
      <c r="I17" s="21">
        <v>0.2</v>
      </c>
      <c r="J17" s="21">
        <v>-0.1</v>
      </c>
      <c r="K17" s="21">
        <v>0.1</v>
      </c>
      <c r="L17" s="20">
        <v>200000</v>
      </c>
      <c r="M17" s="20">
        <v>100000</v>
      </c>
    </row>
    <row r="18" spans="2:13" x14ac:dyDescent="0.3">
      <c r="B18" s="18" t="s">
        <v>49</v>
      </c>
      <c r="C18" s="19">
        <v>25</v>
      </c>
      <c r="D18" s="20">
        <v>304000</v>
      </c>
      <c r="E18" s="21">
        <v>0.2</v>
      </c>
      <c r="F18" s="19">
        <v>5</v>
      </c>
      <c r="G18" s="21">
        <v>-0.2</v>
      </c>
      <c r="H18" s="21">
        <v>0.15</v>
      </c>
      <c r="I18" s="21">
        <v>0.3</v>
      </c>
      <c r="J18" s="21">
        <v>-0.1</v>
      </c>
      <c r="K18" s="21">
        <v>0.1</v>
      </c>
      <c r="L18" s="20">
        <v>200000</v>
      </c>
      <c r="M18" s="20">
        <v>100000</v>
      </c>
    </row>
    <row r="19" spans="2:13" x14ac:dyDescent="0.3">
      <c r="B19" s="18" t="s">
        <v>50</v>
      </c>
      <c r="C19" s="19">
        <v>26</v>
      </c>
      <c r="D19" s="20">
        <v>319000</v>
      </c>
      <c r="E19" s="21">
        <v>0.2</v>
      </c>
      <c r="F19" s="19">
        <v>4</v>
      </c>
      <c r="G19" s="21">
        <v>-0.2</v>
      </c>
      <c r="H19" s="21">
        <v>0.1</v>
      </c>
      <c r="I19" s="21">
        <v>0.3</v>
      </c>
      <c r="J19" s="21">
        <v>-0.1</v>
      </c>
      <c r="K19" s="21">
        <v>0.1</v>
      </c>
      <c r="L19" s="20">
        <v>200000</v>
      </c>
      <c r="M19" s="20">
        <v>100000</v>
      </c>
    </row>
    <row r="20" spans="2:13" x14ac:dyDescent="0.3">
      <c r="B20" s="18" t="s">
        <v>51</v>
      </c>
      <c r="C20" s="19">
        <v>30</v>
      </c>
      <c r="D20" s="20">
        <v>332000</v>
      </c>
      <c r="E20" s="21">
        <v>0.2</v>
      </c>
      <c r="F20" s="19">
        <v>0</v>
      </c>
      <c r="G20" s="21">
        <v>0</v>
      </c>
      <c r="H20" s="21">
        <v>0</v>
      </c>
      <c r="I20" s="21">
        <v>0.2</v>
      </c>
      <c r="J20" s="21">
        <v>-0.1</v>
      </c>
      <c r="K20" s="21">
        <v>0.1</v>
      </c>
      <c r="L20" s="20">
        <v>200000</v>
      </c>
      <c r="M20" s="20">
        <v>100000</v>
      </c>
    </row>
    <row r="21" spans="2:13" x14ac:dyDescent="0.3">
      <c r="B21" s="18" t="s">
        <v>52</v>
      </c>
      <c r="C21" s="19">
        <v>26</v>
      </c>
      <c r="D21" s="20">
        <v>294000</v>
      </c>
      <c r="E21" s="21">
        <v>0.2</v>
      </c>
      <c r="F21" s="19">
        <v>34</v>
      </c>
      <c r="G21" s="21">
        <v>-0.25</v>
      </c>
      <c r="H21" s="21">
        <v>0.15</v>
      </c>
      <c r="I21" s="21">
        <v>0.1</v>
      </c>
      <c r="J21" s="21">
        <v>-0.1</v>
      </c>
      <c r="K21" s="21">
        <v>0.1</v>
      </c>
      <c r="L21" s="20">
        <v>200000</v>
      </c>
      <c r="M21" s="20">
        <v>100000</v>
      </c>
    </row>
    <row r="22" spans="2:13" x14ac:dyDescent="0.3">
      <c r="B22" s="18" t="s">
        <v>53</v>
      </c>
      <c r="C22" s="19">
        <v>29</v>
      </c>
      <c r="D22" s="20">
        <v>306000</v>
      </c>
      <c r="E22" s="21">
        <v>0.2</v>
      </c>
      <c r="F22" s="19">
        <v>1</v>
      </c>
      <c r="G22" s="21">
        <v>-0.15</v>
      </c>
      <c r="H22" s="21">
        <v>0.1</v>
      </c>
      <c r="I22" s="21">
        <v>0</v>
      </c>
      <c r="J22" s="21">
        <v>0</v>
      </c>
      <c r="K22" s="21">
        <v>0</v>
      </c>
      <c r="L22" s="20"/>
      <c r="M22" s="20">
        <v>100000</v>
      </c>
    </row>
    <row r="23" spans="2:13" x14ac:dyDescent="0.3">
      <c r="B23" s="22" t="s">
        <v>54</v>
      </c>
      <c r="C23" s="23">
        <f>SUM(C8:C22)</f>
        <v>366</v>
      </c>
      <c r="D23" s="24"/>
      <c r="E23" s="23">
        <f>SUM(E8:E22)</f>
        <v>2.1999999999999997</v>
      </c>
      <c r="F23" s="23">
        <f>SUM(F8:F22)</f>
        <v>104</v>
      </c>
      <c r="G23" s="24"/>
      <c r="H23" s="24"/>
      <c r="I23" s="24"/>
      <c r="J23" s="24"/>
      <c r="K23" s="24"/>
      <c r="L23" s="24"/>
      <c r="M23" s="24"/>
    </row>
    <row r="25" spans="2:13" x14ac:dyDescent="0.3">
      <c r="B25" s="7" t="s">
        <v>55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</row>
    <row r="26" spans="2:13" x14ac:dyDescent="0.3">
      <c r="B26" s="25" t="s">
        <v>56</v>
      </c>
      <c r="C26" s="25" t="s">
        <v>57</v>
      </c>
    </row>
    <row r="27" spans="2:13" x14ac:dyDescent="0.3">
      <c r="B27" s="26" t="s">
        <v>58</v>
      </c>
      <c r="C27" s="27">
        <v>57969300</v>
      </c>
    </row>
    <row r="28" spans="2:13" x14ac:dyDescent="0.3">
      <c r="B28" s="26" t="s">
        <v>59</v>
      </c>
      <c r="C28" s="27">
        <v>2750000</v>
      </c>
    </row>
    <row r="29" spans="2:13" x14ac:dyDescent="0.3">
      <c r="B29" s="26" t="s">
        <v>60</v>
      </c>
      <c r="C29" s="27">
        <v>24347100</v>
      </c>
    </row>
    <row r="30" spans="2:13" x14ac:dyDescent="0.3">
      <c r="B30" s="26" t="s">
        <v>61</v>
      </c>
      <c r="C30" s="27">
        <v>1069196</v>
      </c>
    </row>
    <row r="31" spans="2:13" x14ac:dyDescent="0.3">
      <c r="B31" s="26" t="s">
        <v>62</v>
      </c>
      <c r="C31" s="27">
        <v>2500000</v>
      </c>
    </row>
    <row r="32" spans="2:13" x14ac:dyDescent="0.3">
      <c r="B32" s="26" t="s">
        <v>63</v>
      </c>
      <c r="C32" s="27">
        <v>13045454</v>
      </c>
    </row>
    <row r="33" spans="2:13" x14ac:dyDescent="0.3">
      <c r="B33" s="26" t="s">
        <v>64</v>
      </c>
      <c r="C33" s="27">
        <v>5000000</v>
      </c>
    </row>
    <row r="34" spans="2:13" x14ac:dyDescent="0.3">
      <c r="B34" s="26" t="s">
        <v>65</v>
      </c>
      <c r="C34" s="27">
        <v>2500000</v>
      </c>
    </row>
    <row r="35" spans="2:13" x14ac:dyDescent="0.3">
      <c r="B35" s="26" t="s">
        <v>66</v>
      </c>
      <c r="C35" s="27">
        <v>4200000</v>
      </c>
    </row>
    <row r="36" spans="2:13" x14ac:dyDescent="0.3">
      <c r="B36" s="26" t="s">
        <v>67</v>
      </c>
      <c r="C36" s="27">
        <f>11338105/3</f>
        <v>3779368.3333333335</v>
      </c>
    </row>
    <row r="37" spans="2:13" x14ac:dyDescent="0.3">
      <c r="B37" s="28" t="s">
        <v>68</v>
      </c>
      <c r="C37" s="29">
        <f>SUM(C27:C36)</f>
        <v>117160418.33333333</v>
      </c>
    </row>
    <row r="39" spans="2:13" x14ac:dyDescent="0.3">
      <c r="B39" s="7" t="s">
        <v>69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</row>
    <row r="40" spans="2:13" ht="27.75" customHeight="1" x14ac:dyDescent="0.3">
      <c r="B40" s="30" t="s">
        <v>70</v>
      </c>
      <c r="C40" s="30" t="s">
        <v>71</v>
      </c>
      <c r="D40" s="30" t="s">
        <v>72</v>
      </c>
    </row>
    <row r="41" spans="2:13" x14ac:dyDescent="0.3">
      <c r="B41" s="18" t="s">
        <v>73</v>
      </c>
      <c r="C41" s="21">
        <v>0.8</v>
      </c>
      <c r="D41" s="21">
        <v>0.03</v>
      </c>
    </row>
    <row r="42" spans="2:13" x14ac:dyDescent="0.3">
      <c r="B42" s="18" t="s">
        <v>23</v>
      </c>
      <c r="C42" s="21">
        <v>0.85</v>
      </c>
      <c r="D42" s="21">
        <v>0</v>
      </c>
    </row>
    <row r="43" spans="2:13" x14ac:dyDescent="0.3">
      <c r="B43" s="18" t="s">
        <v>74</v>
      </c>
      <c r="C43" s="21">
        <v>0.98</v>
      </c>
      <c r="D43" s="21">
        <v>-0.02</v>
      </c>
    </row>
    <row r="45" spans="2:13" x14ac:dyDescent="0.3">
      <c r="B45" s="7" t="s">
        <v>75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</row>
    <row r="46" spans="2:13" x14ac:dyDescent="0.3">
      <c r="B46" s="1" t="s">
        <v>76</v>
      </c>
      <c r="C46" s="1"/>
      <c r="D46" s="1"/>
      <c r="E46" s="1"/>
      <c r="F46" s="31">
        <v>0</v>
      </c>
    </row>
    <row r="47" spans="2:13" x14ac:dyDescent="0.3">
      <c r="B47" s="1" t="s">
        <v>77</v>
      </c>
      <c r="C47" s="1"/>
      <c r="D47" s="1"/>
      <c r="E47" s="1"/>
      <c r="F47" s="31">
        <v>0</v>
      </c>
    </row>
  </sheetData>
  <mergeCells count="7">
    <mergeCell ref="B46:E46"/>
    <mergeCell ref="B47:E47"/>
    <mergeCell ref="E4:I4"/>
    <mergeCell ref="B6:M6"/>
    <mergeCell ref="B25:M25"/>
    <mergeCell ref="B39:M39"/>
    <mergeCell ref="B45:M45"/>
  </mergeCells>
  <dataValidations count="2">
    <dataValidation type="list" sqref="C4" xr:uid="{00000000-0002-0000-0100-000000000000}">
      <formula1>"Pessimistic,Realistic,Optimistic"</formula1>
      <formula2>0</formula2>
    </dataValidation>
    <dataValidation type="list" sqref="J4" xr:uid="{00000000-0002-0000-0100-000001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P45"/>
  <sheetViews>
    <sheetView showGridLines="0"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D9" sqref="D9"/>
    </sheetView>
  </sheetViews>
  <sheetFormatPr defaultColWidth="8.6640625" defaultRowHeight="14.4" x14ac:dyDescent="0.3"/>
  <cols>
    <col min="2" max="2" width="30" customWidth="1"/>
    <col min="3" max="9" width="14" customWidth="1"/>
    <col min="10" max="10" width="3" customWidth="1"/>
    <col min="11" max="11" width="14" customWidth="1"/>
    <col min="12" max="13" width="3" customWidth="1"/>
    <col min="14" max="15" width="14" customWidth="1"/>
  </cols>
  <sheetData>
    <row r="1" spans="2:16" ht="17.399999999999999" x14ac:dyDescent="0.3">
      <c r="B1" s="12" t="s">
        <v>78</v>
      </c>
    </row>
    <row r="2" spans="2:16" x14ac:dyDescent="0.3">
      <c r="B2" s="13" t="s">
        <v>79</v>
      </c>
    </row>
    <row r="4" spans="2:16" ht="15.6" x14ac:dyDescent="0.3">
      <c r="B4" s="14" t="s">
        <v>80</v>
      </c>
      <c r="C4" s="11" t="str">
        <f>Inputs!$C$4</f>
        <v>Realistic</v>
      </c>
      <c r="D4" s="11"/>
      <c r="E4" s="10" t="s">
        <v>81</v>
      </c>
      <c r="F4" s="10"/>
      <c r="G4" s="10"/>
      <c r="H4" s="10"/>
      <c r="I4" s="10"/>
      <c r="J4" s="10"/>
      <c r="K4" s="10"/>
    </row>
    <row r="6" spans="2:16" ht="25.5" customHeight="1" x14ac:dyDescent="0.3">
      <c r="B6" s="9" t="s">
        <v>82</v>
      </c>
      <c r="C6" s="9"/>
      <c r="D6" s="9"/>
      <c r="E6" s="9" t="s">
        <v>83</v>
      </c>
      <c r="F6" s="9"/>
      <c r="G6" s="9"/>
      <c r="H6" s="9" t="s">
        <v>84</v>
      </c>
      <c r="I6" s="9"/>
      <c r="J6" s="9"/>
      <c r="K6" s="9" t="s">
        <v>85</v>
      </c>
      <c r="L6" s="9"/>
      <c r="M6" s="9"/>
      <c r="N6" s="9" t="s">
        <v>86</v>
      </c>
      <c r="O6" s="9"/>
      <c r="P6" s="9"/>
    </row>
    <row r="7" spans="2:16" x14ac:dyDescent="0.3">
      <c r="B7" s="8">
        <f>CHOOSE(MATCH(Inputs!$C$4,{"Pessimistic","Realistic","Optimistic"},0),Calculations!C73,Calculations!D73,Calculations!E73)</f>
        <v>122509000</v>
      </c>
      <c r="C7" s="8"/>
      <c r="D7" s="8"/>
      <c r="E7" s="8">
        <f>CHOOSE(MATCH(Inputs!$C$4,{"Pessimistic","Realistic","Optimistic"},0),Calculations!C77,Calculations!D77,Calculations!E77)</f>
        <v>117160418.33333333</v>
      </c>
      <c r="F7" s="8"/>
      <c r="G7" s="8"/>
      <c r="H7" s="8">
        <f>CHOOSE(MATCH(Inputs!$C$4,{"Pessimistic","Realistic","Optimistic"},0),Calculations!C78,Calculations!D78,Calculations!E78)</f>
        <v>5348581.6666666716</v>
      </c>
      <c r="I7" s="8"/>
      <c r="J7" s="8"/>
      <c r="K7" s="8">
        <f>CHOOSE(MATCH(Inputs!$C$4,{"Pessimistic","Realistic","Optimistic"},0),Calculations!C84,Calculations!D84,Calculations!E84)</f>
        <v>6379581.6666666716</v>
      </c>
      <c r="L7" s="8"/>
      <c r="M7" s="8"/>
      <c r="N7" s="8">
        <f>CHOOSE(MATCH(Inputs!$C$4,{"Pessimistic","Realistic","Optimistic"},0),Calculations!C89,Calculations!D89,Calculations!E89)</f>
        <v>17500000</v>
      </c>
      <c r="O7" s="8"/>
      <c r="P7" s="8"/>
    </row>
    <row r="8" spans="2:16" ht="21.75" customHeight="1" x14ac:dyDescent="0.3"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11" spans="2:16" x14ac:dyDescent="0.3">
      <c r="B11" s="7" t="s">
        <v>87</v>
      </c>
      <c r="C11" s="7"/>
      <c r="D11" s="7"/>
      <c r="E11" s="7"/>
    </row>
    <row r="12" spans="2:16" x14ac:dyDescent="0.3">
      <c r="B12" s="32" t="s">
        <v>88</v>
      </c>
      <c r="C12" s="32" t="s">
        <v>73</v>
      </c>
      <c r="D12" s="32" t="s">
        <v>23</v>
      </c>
      <c r="E12" s="32" t="s">
        <v>74</v>
      </c>
    </row>
    <row r="13" spans="2:16" x14ac:dyDescent="0.3">
      <c r="B13" s="26" t="s">
        <v>89</v>
      </c>
      <c r="C13" s="33">
        <f>Calculations!C66</f>
        <v>84</v>
      </c>
      <c r="D13" s="33">
        <f>Calculations!D66</f>
        <v>104</v>
      </c>
      <c r="E13" s="33">
        <f>Calculations!E66</f>
        <v>122</v>
      </c>
    </row>
    <row r="14" spans="2:16" x14ac:dyDescent="0.3">
      <c r="B14" s="26" t="s">
        <v>90</v>
      </c>
      <c r="C14" s="33">
        <f>Calculations!C67</f>
        <v>450</v>
      </c>
      <c r="D14" s="33">
        <f>Calculations!D67</f>
        <v>470</v>
      </c>
      <c r="E14" s="33">
        <f>Calculations!E67</f>
        <v>488</v>
      </c>
    </row>
    <row r="15" spans="2:16" x14ac:dyDescent="0.3">
      <c r="B15" s="26" t="s">
        <v>91</v>
      </c>
      <c r="C15" s="34">
        <f>Calculations!C68</f>
        <v>118391000</v>
      </c>
      <c r="D15" s="34">
        <f>Calculations!D68</f>
        <v>123540000</v>
      </c>
      <c r="E15" s="34">
        <f>Calculations!E68</f>
        <v>127835000</v>
      </c>
    </row>
    <row r="16" spans="2:16" x14ac:dyDescent="0.3">
      <c r="B16" s="26" t="s">
        <v>92</v>
      </c>
      <c r="C16" s="34">
        <f>Calculations!C70</f>
        <v>94712800</v>
      </c>
      <c r="D16" s="34">
        <f>Calculations!D70</f>
        <v>105009000</v>
      </c>
      <c r="E16" s="34">
        <f>Calculations!E70</f>
        <v>125278300</v>
      </c>
    </row>
    <row r="17" spans="2:9" x14ac:dyDescent="0.3">
      <c r="B17" s="26" t="s">
        <v>93</v>
      </c>
      <c r="C17" s="34">
        <f>Calculations!C71</f>
        <v>3800000</v>
      </c>
      <c r="D17" s="34">
        <f>Calculations!D71</f>
        <v>7100000</v>
      </c>
      <c r="E17" s="34">
        <f>Calculations!E71</f>
        <v>10400000</v>
      </c>
    </row>
    <row r="18" spans="2:9" x14ac:dyDescent="0.3">
      <c r="B18" s="26" t="s">
        <v>94</v>
      </c>
      <c r="C18" s="34">
        <f>Calculations!C72</f>
        <v>8400000</v>
      </c>
      <c r="D18" s="34">
        <f>Calculations!D72</f>
        <v>10400000</v>
      </c>
      <c r="E18" s="34">
        <f>Calculations!E72</f>
        <v>12200000</v>
      </c>
    </row>
    <row r="19" spans="2:9" x14ac:dyDescent="0.3">
      <c r="B19" s="28" t="s">
        <v>95</v>
      </c>
      <c r="C19" s="35">
        <f>Calculations!C73</f>
        <v>106912800</v>
      </c>
      <c r="D19" s="35">
        <f>Calculations!D73</f>
        <v>122509000</v>
      </c>
      <c r="E19" s="35">
        <f>Calculations!E73</f>
        <v>147878300</v>
      </c>
    </row>
    <row r="20" spans="2:9" x14ac:dyDescent="0.3">
      <c r="B20" s="28" t="s">
        <v>96</v>
      </c>
      <c r="C20" s="35">
        <f>Calculations!C77</f>
        <v>120675230.88333333</v>
      </c>
      <c r="D20" s="35">
        <f>Calculations!D77</f>
        <v>117160418.33333333</v>
      </c>
      <c r="E20" s="35">
        <f>Calculations!E77</f>
        <v>114817209.96666665</v>
      </c>
    </row>
    <row r="21" spans="2:9" x14ac:dyDescent="0.3">
      <c r="B21" s="28" t="s">
        <v>97</v>
      </c>
      <c r="C21" s="35">
        <f>Calculations!C78</f>
        <v>-13762430.883333325</v>
      </c>
      <c r="D21" s="35">
        <f>Calculations!D78</f>
        <v>5348581.6666666716</v>
      </c>
      <c r="E21" s="35">
        <f>Calculations!E78</f>
        <v>33061090.033333346</v>
      </c>
    </row>
    <row r="22" spans="2:9" x14ac:dyDescent="0.3">
      <c r="B22" s="28" t="s">
        <v>98</v>
      </c>
      <c r="C22" s="35">
        <f>Calculations!C82</f>
        <v>118391000</v>
      </c>
      <c r="D22" s="35">
        <f>Calculations!D82</f>
        <v>123540000</v>
      </c>
      <c r="E22" s="35">
        <f>Calculations!E82</f>
        <v>127835000</v>
      </c>
    </row>
    <row r="23" spans="2:9" x14ac:dyDescent="0.3">
      <c r="B23" s="26" t="s">
        <v>99</v>
      </c>
      <c r="C23" s="34">
        <f>Calculations!C83</f>
        <v>120675230.88333333</v>
      </c>
      <c r="D23" s="34">
        <f>Calculations!D83</f>
        <v>117160418.33333333</v>
      </c>
      <c r="E23" s="34">
        <f>Calculations!E83</f>
        <v>114817209.96666665</v>
      </c>
    </row>
    <row r="24" spans="2:9" x14ac:dyDescent="0.3">
      <c r="B24" s="28" t="s">
        <v>100</v>
      </c>
      <c r="C24" s="35">
        <f>Calculations!C84</f>
        <v>-2284230.8833333254</v>
      </c>
      <c r="D24" s="35">
        <f>Calculations!D84</f>
        <v>6379581.6666666716</v>
      </c>
      <c r="E24" s="35">
        <f>Calculations!E84</f>
        <v>13017790.033333346</v>
      </c>
    </row>
    <row r="25" spans="2:9" x14ac:dyDescent="0.3">
      <c r="B25" s="28" t="s">
        <v>101</v>
      </c>
      <c r="C25" s="35">
        <f>Calculations!C89</f>
        <v>12200000</v>
      </c>
      <c r="D25" s="35">
        <f>Calculations!D89</f>
        <v>17500000</v>
      </c>
      <c r="E25" s="35">
        <f>Calculations!E89</f>
        <v>22600000</v>
      </c>
    </row>
    <row r="28" spans="2:9" x14ac:dyDescent="0.3">
      <c r="B28" s="7" t="s">
        <v>102</v>
      </c>
      <c r="C28" s="7"/>
      <c r="D28" s="7"/>
      <c r="E28" s="7"/>
      <c r="F28" s="7"/>
      <c r="G28" s="7"/>
      <c r="H28" s="7"/>
      <c r="I28" s="7"/>
    </row>
    <row r="29" spans="2:9" ht="27.75" customHeight="1" x14ac:dyDescent="0.3">
      <c r="B29" s="17" t="s">
        <v>27</v>
      </c>
      <c r="C29" s="17" t="s">
        <v>28</v>
      </c>
      <c r="D29" s="17" t="s">
        <v>103</v>
      </c>
      <c r="E29" s="17" t="s">
        <v>104</v>
      </c>
      <c r="F29" s="17" t="s">
        <v>105</v>
      </c>
      <c r="G29" s="17" t="s">
        <v>106</v>
      </c>
      <c r="H29" s="17" t="s">
        <v>107</v>
      </c>
      <c r="I29" s="17" t="s">
        <v>108</v>
      </c>
    </row>
    <row r="30" spans="2:9" x14ac:dyDescent="0.3">
      <c r="B30" s="36" t="str">
        <f>CHOOSE(MATCH(Inputs!$C$4,{"Pessimistic","Realistic","Optimistic"},0),Calculations!B6,Calculations!B26,Calculations!B46)</f>
        <v>Pre-KG</v>
      </c>
      <c r="C30" s="33">
        <f>CHOOSE(MATCH(Inputs!$C$4,{"Pessimistic","Realistic","Optimistic"},0),Calculations!C6,Calculations!C26,Calculations!C46)</f>
        <v>0</v>
      </c>
      <c r="D30" s="33">
        <f>CHOOSE(MATCH(Inputs!$C$4,{"Pessimistic","Realistic","Optimistic"},0),Calculations!D6,Calculations!D26,Calculations!D46)</f>
        <v>0</v>
      </c>
      <c r="E30" s="33">
        <f>CHOOSE(MATCH(Inputs!$C$4,{"Pessimistic","Realistic","Optimistic"},0),Calculations!E6,Calculations!E26,Calculations!E46)</f>
        <v>0</v>
      </c>
      <c r="F30" s="34">
        <f>CHOOSE(MATCH(Inputs!$C$4,{"Pessimistic","Realistic","Optimistic"},0),Calculations!F6,Calculations!F26,Calculations!F46)</f>
        <v>0</v>
      </c>
      <c r="G30" s="37">
        <f>CHOOSE(MATCH(Inputs!$C$4,{"Pessimistic","Realistic","Optimistic"},0),Calculations!G6,Calculations!G26,Calculations!G46)</f>
        <v>0</v>
      </c>
      <c r="H30" s="34">
        <f>CHOOSE(MATCH(Inputs!$C$4,{"Pessimistic","Realistic","Optimistic"},0),Calculations!H6,Calculations!H26,Calculations!H46)</f>
        <v>0</v>
      </c>
      <c r="I30" s="34">
        <f>CHOOSE(MATCH(Inputs!$C$4,{"Pessimistic","Realistic","Optimistic"},0),Calculations!I6,Calculations!I26,Calculations!I46)</f>
        <v>0</v>
      </c>
    </row>
    <row r="31" spans="2:9" x14ac:dyDescent="0.3">
      <c r="B31" s="36" t="str">
        <f>CHOOSE(MATCH(Inputs!$C$4,{"Pessimistic","Realistic","Optimistic"},0),Calculations!B7,Calculations!B27,Calculations!B47)</f>
        <v>LKG</v>
      </c>
      <c r="C31" s="33">
        <f>CHOOSE(MATCH(Inputs!$C$4,{"Pessimistic","Realistic","Optimistic"},0),Calculations!C7,Calculations!C27,Calculations!C47)</f>
        <v>4</v>
      </c>
      <c r="D31" s="33">
        <f>CHOOSE(MATCH(Inputs!$C$4,{"Pessimistic","Realistic","Optimistic"},0),Calculations!D7,Calculations!D27,Calculations!D47)</f>
        <v>26</v>
      </c>
      <c r="E31" s="33">
        <f>CHOOSE(MATCH(Inputs!$C$4,{"Pessimistic","Realistic","Optimistic"},0),Calculations!E7,Calculations!E27,Calculations!E47)</f>
        <v>30</v>
      </c>
      <c r="F31" s="34">
        <f>CHOOSE(MATCH(Inputs!$C$4,{"Pessimistic","Realistic","Optimistic"},0),Calculations!F7,Calculations!F27,Calculations!F47)</f>
        <v>6300000</v>
      </c>
      <c r="G31" s="37">
        <f>CHOOSE(MATCH(Inputs!$C$4,{"Pessimistic","Realistic","Optimistic"},0),Calculations!G7,Calculations!G27,Calculations!G47)</f>
        <v>0</v>
      </c>
      <c r="H31" s="34">
        <f>CHOOSE(MATCH(Inputs!$C$4,{"Pessimistic","Realistic","Optimistic"},0),Calculations!H7,Calculations!H27,Calculations!H47)</f>
        <v>0</v>
      </c>
      <c r="I31" s="34">
        <f>CHOOSE(MATCH(Inputs!$C$4,{"Pessimistic","Realistic","Optimistic"},0),Calculations!I7,Calculations!I27,Calculations!I47)</f>
        <v>2600000</v>
      </c>
    </row>
    <row r="32" spans="2:9" x14ac:dyDescent="0.3">
      <c r="B32" s="36" t="str">
        <f>CHOOSE(MATCH(Inputs!$C$4,{"Pessimistic","Realistic","Optimistic"},0),Calculations!B8,Calculations!B28,Calculations!B48)</f>
        <v>UKG</v>
      </c>
      <c r="C32" s="33">
        <f>CHOOSE(MATCH(Inputs!$C$4,{"Pessimistic","Realistic","Optimistic"},0),Calculations!C8,Calculations!C28,Calculations!C48)</f>
        <v>15</v>
      </c>
      <c r="D32" s="33">
        <f>CHOOSE(MATCH(Inputs!$C$4,{"Pessimistic","Realistic","Optimistic"},0),Calculations!D8,Calculations!D28,Calculations!D48)</f>
        <v>15</v>
      </c>
      <c r="E32" s="33">
        <f>CHOOSE(MATCH(Inputs!$C$4,{"Pessimistic","Realistic","Optimistic"},0),Calculations!E8,Calculations!E28,Calculations!E48)</f>
        <v>30</v>
      </c>
      <c r="F32" s="34">
        <f>CHOOSE(MATCH(Inputs!$C$4,{"Pessimistic","Realistic","Optimistic"},0),Calculations!F8,Calculations!F28,Calculations!F48)</f>
        <v>6030000</v>
      </c>
      <c r="G32" s="37">
        <f>CHOOSE(MATCH(Inputs!$C$4,{"Pessimistic","Realistic","Optimistic"},0),Calculations!G8,Calculations!G28,Calculations!G48)</f>
        <v>0</v>
      </c>
      <c r="H32" s="34">
        <f>CHOOSE(MATCH(Inputs!$C$4,{"Pessimistic","Realistic","Optimistic"},0),Calculations!H8,Calculations!H28,Calculations!H48)</f>
        <v>0</v>
      </c>
      <c r="I32" s="34">
        <f>CHOOSE(MATCH(Inputs!$C$4,{"Pessimistic","Realistic","Optimistic"},0),Calculations!I8,Calculations!I28,Calculations!I48)</f>
        <v>1500000</v>
      </c>
    </row>
    <row r="33" spans="2:9" x14ac:dyDescent="0.3">
      <c r="B33" s="36" t="str">
        <f>CHOOSE(MATCH(Inputs!$C$4,{"Pessimistic","Realistic","Optimistic"},0),Calculations!B9,Calculations!B29,Calculations!B49)</f>
        <v>I</v>
      </c>
      <c r="C33" s="33">
        <f>CHOOSE(MATCH(Inputs!$C$4,{"Pessimistic","Realistic","Optimistic"},0),Calculations!C9,Calculations!C29,Calculations!C49)</f>
        <v>23</v>
      </c>
      <c r="D33" s="33">
        <f>CHOOSE(MATCH(Inputs!$C$4,{"Pessimistic","Realistic","Optimistic"},0),Calculations!D9,Calculations!D29,Calculations!D49)</f>
        <v>14</v>
      </c>
      <c r="E33" s="33">
        <f>CHOOSE(MATCH(Inputs!$C$4,{"Pessimistic","Realistic","Optimistic"},0),Calculations!E9,Calculations!E29,Calculations!E49)</f>
        <v>37</v>
      </c>
      <c r="F33" s="34">
        <f>CHOOSE(MATCH(Inputs!$C$4,{"Pessimistic","Realistic","Optimistic"},0),Calculations!F9,Calculations!F29,Calculations!F49)</f>
        <v>8029000</v>
      </c>
      <c r="G33" s="37">
        <f>CHOOSE(MATCH(Inputs!$C$4,{"Pessimistic","Realistic","Optimistic"},0),Calculations!G9,Calculations!G29,Calculations!G49)</f>
        <v>0</v>
      </c>
      <c r="H33" s="34">
        <f>CHOOSE(MATCH(Inputs!$C$4,{"Pessimistic","Realistic","Optimistic"},0),Calculations!H9,Calculations!H29,Calculations!H49)</f>
        <v>0</v>
      </c>
      <c r="I33" s="34">
        <f>CHOOSE(MATCH(Inputs!$C$4,{"Pessimistic","Realistic","Optimistic"},0),Calculations!I9,Calculations!I29,Calculations!I49)</f>
        <v>1400000</v>
      </c>
    </row>
    <row r="34" spans="2:9" x14ac:dyDescent="0.3">
      <c r="B34" s="36" t="str">
        <f>CHOOSE(MATCH(Inputs!$C$4,{"Pessimistic","Realistic","Optimistic"},0),Calculations!B10,Calculations!B30,Calculations!B50)</f>
        <v>II</v>
      </c>
      <c r="C34" s="33">
        <f>CHOOSE(MATCH(Inputs!$C$4,{"Pessimistic","Realistic","Optimistic"},0),Calculations!C10,Calculations!C30,Calculations!C50)</f>
        <v>33</v>
      </c>
      <c r="D34" s="33">
        <f>CHOOSE(MATCH(Inputs!$C$4,{"Pessimistic","Realistic","Optimistic"},0),Calculations!D10,Calculations!D30,Calculations!D50)</f>
        <v>0</v>
      </c>
      <c r="E34" s="33">
        <f>CHOOSE(MATCH(Inputs!$C$4,{"Pessimistic","Realistic","Optimistic"},0),Calculations!E10,Calculations!E30,Calculations!E50)</f>
        <v>33</v>
      </c>
      <c r="F34" s="34">
        <f>CHOOSE(MATCH(Inputs!$C$4,{"Pessimistic","Realistic","Optimistic"},0),Calculations!F10,Calculations!F30,Calculations!F50)</f>
        <v>7161000</v>
      </c>
      <c r="G34" s="37">
        <f>CHOOSE(MATCH(Inputs!$C$4,{"Pessimistic","Realistic","Optimistic"},0),Calculations!G10,Calculations!G30,Calculations!G50)</f>
        <v>0</v>
      </c>
      <c r="H34" s="34">
        <f>CHOOSE(MATCH(Inputs!$C$4,{"Pessimistic","Realistic","Optimistic"},0),Calculations!H10,Calculations!H30,Calculations!H50)</f>
        <v>0</v>
      </c>
      <c r="I34" s="34">
        <f>CHOOSE(MATCH(Inputs!$C$4,{"Pessimistic","Realistic","Optimistic"},0),Calculations!I10,Calculations!I30,Calculations!I50)</f>
        <v>0</v>
      </c>
    </row>
    <row r="35" spans="2:9" x14ac:dyDescent="0.3">
      <c r="B35" s="36" t="str">
        <f>CHOOSE(MATCH(Inputs!$C$4,{"Pessimistic","Realistic","Optimistic"},0),Calculations!B11,Calculations!B31,Calculations!B51)</f>
        <v>III</v>
      </c>
      <c r="C35" s="33">
        <f>CHOOSE(MATCH(Inputs!$C$4,{"Pessimistic","Realistic","Optimistic"},0),Calculations!C11,Calculations!C31,Calculations!C51)</f>
        <v>34</v>
      </c>
      <c r="D35" s="33">
        <f>CHOOSE(MATCH(Inputs!$C$4,{"Pessimistic","Realistic","Optimistic"},0),Calculations!D11,Calculations!D31,Calculations!D51)</f>
        <v>0</v>
      </c>
      <c r="E35" s="33">
        <f>CHOOSE(MATCH(Inputs!$C$4,{"Pessimistic","Realistic","Optimistic"},0),Calculations!E11,Calculations!E31,Calculations!E51)</f>
        <v>34</v>
      </c>
      <c r="F35" s="34">
        <f>CHOOSE(MATCH(Inputs!$C$4,{"Pessimistic","Realistic","Optimistic"},0),Calculations!F11,Calculations!F31,Calculations!F51)</f>
        <v>7718000</v>
      </c>
      <c r="G35" s="37">
        <f>CHOOSE(MATCH(Inputs!$C$4,{"Pessimistic","Realistic","Optimistic"},0),Calculations!G11,Calculations!G31,Calculations!G51)</f>
        <v>0</v>
      </c>
      <c r="H35" s="34">
        <f>CHOOSE(MATCH(Inputs!$C$4,{"Pessimistic","Realistic","Optimistic"},0),Calculations!H11,Calculations!H31,Calculations!H51)</f>
        <v>0</v>
      </c>
      <c r="I35" s="34">
        <f>CHOOSE(MATCH(Inputs!$C$4,{"Pessimistic","Realistic","Optimistic"},0),Calculations!I11,Calculations!I31,Calculations!I51)</f>
        <v>0</v>
      </c>
    </row>
    <row r="36" spans="2:9" x14ac:dyDescent="0.3">
      <c r="B36" s="36" t="str">
        <f>CHOOSE(MATCH(Inputs!$C$4,{"Pessimistic","Realistic","Optimistic"},0),Calculations!B12,Calculations!B32,Calculations!B52)</f>
        <v>IV</v>
      </c>
      <c r="C36" s="33">
        <f>CHOOSE(MATCH(Inputs!$C$4,{"Pessimistic","Realistic","Optimistic"},0),Calculations!C12,Calculations!C32,Calculations!C52)</f>
        <v>32</v>
      </c>
      <c r="D36" s="33">
        <f>CHOOSE(MATCH(Inputs!$C$4,{"Pessimistic","Realistic","Optimistic"},0),Calculations!D12,Calculations!D32,Calculations!D52)</f>
        <v>0</v>
      </c>
      <c r="E36" s="33">
        <f>CHOOSE(MATCH(Inputs!$C$4,{"Pessimistic","Realistic","Optimistic"},0),Calculations!E12,Calculations!E32,Calculations!E52)</f>
        <v>32</v>
      </c>
      <c r="F36" s="34">
        <f>CHOOSE(MATCH(Inputs!$C$4,{"Pessimistic","Realistic","Optimistic"},0),Calculations!F12,Calculations!F32,Calculations!F52)</f>
        <v>7424000</v>
      </c>
      <c r="G36" s="37">
        <f>CHOOSE(MATCH(Inputs!$C$4,{"Pessimistic","Realistic","Optimistic"},0),Calculations!G12,Calculations!G32,Calculations!G52)</f>
        <v>0</v>
      </c>
      <c r="H36" s="34">
        <f>CHOOSE(MATCH(Inputs!$C$4,{"Pessimistic","Realistic","Optimistic"},0),Calculations!H12,Calculations!H32,Calculations!H52)</f>
        <v>0</v>
      </c>
      <c r="I36" s="34">
        <f>CHOOSE(MATCH(Inputs!$C$4,{"Pessimistic","Realistic","Optimistic"},0),Calculations!I12,Calculations!I32,Calculations!I52)</f>
        <v>0</v>
      </c>
    </row>
    <row r="37" spans="2:9" x14ac:dyDescent="0.3">
      <c r="B37" s="36" t="str">
        <f>CHOOSE(MATCH(Inputs!$C$4,{"Pessimistic","Realistic","Optimistic"},0),Calculations!B13,Calculations!B33,Calculations!B53)</f>
        <v>V</v>
      </c>
      <c r="C37" s="33">
        <f>CHOOSE(MATCH(Inputs!$C$4,{"Pessimistic","Realistic","Optimistic"},0),Calculations!C13,Calculations!C33,Calculations!C53)</f>
        <v>31</v>
      </c>
      <c r="D37" s="33">
        <f>CHOOSE(MATCH(Inputs!$C$4,{"Pessimistic","Realistic","Optimistic"},0),Calculations!D13,Calculations!D33,Calculations!D53)</f>
        <v>1</v>
      </c>
      <c r="E37" s="33">
        <f>CHOOSE(MATCH(Inputs!$C$4,{"Pessimistic","Realistic","Optimistic"},0),Calculations!E13,Calculations!E33,Calculations!E53)</f>
        <v>32</v>
      </c>
      <c r="F37" s="34">
        <f>CHOOSE(MATCH(Inputs!$C$4,{"Pessimistic","Realistic","Optimistic"},0),Calculations!F13,Calculations!F33,Calculations!F53)</f>
        <v>8128000</v>
      </c>
      <c r="G37" s="37">
        <f>CHOOSE(MATCH(Inputs!$C$4,{"Pessimistic","Realistic","Optimistic"},0),Calculations!G13,Calculations!G33,Calculations!G53)</f>
        <v>0</v>
      </c>
      <c r="H37" s="34">
        <f>CHOOSE(MATCH(Inputs!$C$4,{"Pessimistic","Realistic","Optimistic"},0),Calculations!H13,Calculations!H33,Calculations!H53)</f>
        <v>0</v>
      </c>
      <c r="I37" s="34">
        <f>CHOOSE(MATCH(Inputs!$C$4,{"Pessimistic","Realistic","Optimistic"},0),Calculations!I13,Calculations!I33,Calculations!I53)</f>
        <v>100000</v>
      </c>
    </row>
    <row r="38" spans="2:9" x14ac:dyDescent="0.3">
      <c r="B38" s="36" t="str">
        <f>CHOOSE(MATCH(Inputs!$C$4,{"Pessimistic","Realistic","Optimistic"},0),Calculations!B14,Calculations!B34,Calculations!B54)</f>
        <v>VI</v>
      </c>
      <c r="C38" s="33">
        <f>CHOOSE(MATCH(Inputs!$C$4,{"Pessimistic","Realistic","Optimistic"},0),Calculations!C14,Calculations!C34,Calculations!C54)</f>
        <v>31</v>
      </c>
      <c r="D38" s="33">
        <f>CHOOSE(MATCH(Inputs!$C$4,{"Pessimistic","Realistic","Optimistic"},0),Calculations!D14,Calculations!D34,Calculations!D54)</f>
        <v>1</v>
      </c>
      <c r="E38" s="33">
        <f>CHOOSE(MATCH(Inputs!$C$4,{"Pessimistic","Realistic","Optimistic"},0),Calculations!E14,Calculations!E34,Calculations!E54)</f>
        <v>32</v>
      </c>
      <c r="F38" s="34">
        <f>CHOOSE(MATCH(Inputs!$C$4,{"Pessimistic","Realistic","Optimistic"},0),Calculations!F14,Calculations!F34,Calculations!F54)</f>
        <v>8640000</v>
      </c>
      <c r="G38" s="37">
        <f>CHOOSE(MATCH(Inputs!$C$4,{"Pessimistic","Realistic","Optimistic"},0),Calculations!G14,Calculations!G34,Calculations!G54)</f>
        <v>0.2</v>
      </c>
      <c r="H38" s="34">
        <f>CHOOSE(MATCH(Inputs!$C$4,{"Pessimistic","Realistic","Optimistic"},0),Calculations!H14,Calculations!H34,Calculations!H54)</f>
        <v>1240000</v>
      </c>
      <c r="I38" s="34">
        <f>CHOOSE(MATCH(Inputs!$C$4,{"Pessimistic","Realistic","Optimistic"},0),Calculations!I14,Calculations!I34,Calculations!I54)</f>
        <v>100000</v>
      </c>
    </row>
    <row r="39" spans="2:9" x14ac:dyDescent="0.3">
      <c r="B39" s="36" t="str">
        <f>CHOOSE(MATCH(Inputs!$C$4,{"Pessimistic","Realistic","Optimistic"},0),Calculations!B15,Calculations!B35,Calculations!B55)</f>
        <v>VII</v>
      </c>
      <c r="C39" s="33">
        <f>CHOOSE(MATCH(Inputs!$C$4,{"Pessimistic","Realistic","Optimistic"},0),Calculations!C15,Calculations!C35,Calculations!C55)</f>
        <v>27</v>
      </c>
      <c r="D39" s="33">
        <f>CHOOSE(MATCH(Inputs!$C$4,{"Pessimistic","Realistic","Optimistic"},0),Calculations!D15,Calculations!D35,Calculations!D55)</f>
        <v>3</v>
      </c>
      <c r="E39" s="33">
        <f>CHOOSE(MATCH(Inputs!$C$4,{"Pessimistic","Realistic","Optimistic"},0),Calculations!E15,Calculations!E35,Calculations!E55)</f>
        <v>30</v>
      </c>
      <c r="F39" s="34">
        <f>CHOOSE(MATCH(Inputs!$C$4,{"Pessimistic","Realistic","Optimistic"},0),Calculations!F15,Calculations!F35,Calculations!F55)</f>
        <v>8640000</v>
      </c>
      <c r="G39" s="37">
        <f>CHOOSE(MATCH(Inputs!$C$4,{"Pessimistic","Realistic","Optimistic"},0),Calculations!G15,Calculations!G35,Calculations!G55)</f>
        <v>0.2</v>
      </c>
      <c r="H39" s="34">
        <f>CHOOSE(MATCH(Inputs!$C$4,{"Pessimistic","Realistic","Optimistic"},0),Calculations!H15,Calculations!H35,Calculations!H55)</f>
        <v>1080000</v>
      </c>
      <c r="I39" s="34">
        <f>CHOOSE(MATCH(Inputs!$C$4,{"Pessimistic","Realistic","Optimistic"},0),Calculations!I15,Calculations!I35,Calculations!I55)</f>
        <v>300000</v>
      </c>
    </row>
    <row r="40" spans="2:9" x14ac:dyDescent="0.3">
      <c r="B40" s="36" t="str">
        <f>CHOOSE(MATCH(Inputs!$C$4,{"Pessimistic","Realistic","Optimistic"},0),Calculations!B16,Calculations!B36,Calculations!B56)</f>
        <v>VIII</v>
      </c>
      <c r="C40" s="33">
        <f>CHOOSE(MATCH(Inputs!$C$4,{"Pessimistic","Realistic","Optimistic"},0),Calculations!C16,Calculations!C36,Calculations!C56)</f>
        <v>25</v>
      </c>
      <c r="D40" s="33">
        <f>CHOOSE(MATCH(Inputs!$C$4,{"Pessimistic","Realistic","Optimistic"},0),Calculations!D16,Calculations!D36,Calculations!D56)</f>
        <v>5</v>
      </c>
      <c r="E40" s="33">
        <f>CHOOSE(MATCH(Inputs!$C$4,{"Pessimistic","Realistic","Optimistic"},0),Calculations!E16,Calculations!E36,Calculations!E56)</f>
        <v>30</v>
      </c>
      <c r="F40" s="34">
        <f>CHOOSE(MATCH(Inputs!$C$4,{"Pessimistic","Realistic","Optimistic"},0),Calculations!F16,Calculations!F36,Calculations!F56)</f>
        <v>9120000</v>
      </c>
      <c r="G40" s="37">
        <f>CHOOSE(MATCH(Inputs!$C$4,{"Pessimistic","Realistic","Optimistic"},0),Calculations!G16,Calculations!G36,Calculations!G56)</f>
        <v>0.3</v>
      </c>
      <c r="H40" s="34">
        <f>CHOOSE(MATCH(Inputs!$C$4,{"Pessimistic","Realistic","Optimistic"},0),Calculations!H16,Calculations!H36,Calculations!H56)</f>
        <v>1500000</v>
      </c>
      <c r="I40" s="34">
        <f>CHOOSE(MATCH(Inputs!$C$4,{"Pessimistic","Realistic","Optimistic"},0),Calculations!I16,Calculations!I36,Calculations!I56)</f>
        <v>500000</v>
      </c>
    </row>
    <row r="41" spans="2:9" x14ac:dyDescent="0.3">
      <c r="B41" s="36" t="str">
        <f>CHOOSE(MATCH(Inputs!$C$4,{"Pessimistic","Realistic","Optimistic"},0),Calculations!B17,Calculations!B37,Calculations!B57)</f>
        <v>IX</v>
      </c>
      <c r="C41" s="33">
        <f>CHOOSE(MATCH(Inputs!$C$4,{"Pessimistic","Realistic","Optimistic"},0),Calculations!C17,Calculations!C37,Calculations!C57)</f>
        <v>26</v>
      </c>
      <c r="D41" s="33">
        <f>CHOOSE(MATCH(Inputs!$C$4,{"Pessimistic","Realistic","Optimistic"},0),Calculations!D17,Calculations!D37,Calculations!D57)</f>
        <v>4</v>
      </c>
      <c r="E41" s="33">
        <f>CHOOSE(MATCH(Inputs!$C$4,{"Pessimistic","Realistic","Optimistic"},0),Calculations!E17,Calculations!E37,Calculations!E57)</f>
        <v>30</v>
      </c>
      <c r="F41" s="34">
        <f>CHOOSE(MATCH(Inputs!$C$4,{"Pessimistic","Realistic","Optimistic"},0),Calculations!F17,Calculations!F37,Calculations!F57)</f>
        <v>9570000</v>
      </c>
      <c r="G41" s="37">
        <f>CHOOSE(MATCH(Inputs!$C$4,{"Pessimistic","Realistic","Optimistic"},0),Calculations!G17,Calculations!G37,Calculations!G57)</f>
        <v>0.3</v>
      </c>
      <c r="H41" s="34">
        <f>CHOOSE(MATCH(Inputs!$C$4,{"Pessimistic","Realistic","Optimistic"},0),Calculations!H17,Calculations!H37,Calculations!H57)</f>
        <v>1560000</v>
      </c>
      <c r="I41" s="34">
        <f>CHOOSE(MATCH(Inputs!$C$4,{"Pessimistic","Realistic","Optimistic"},0),Calculations!I17,Calculations!I37,Calculations!I57)</f>
        <v>400000</v>
      </c>
    </row>
    <row r="42" spans="2:9" x14ac:dyDescent="0.3">
      <c r="B42" s="36" t="str">
        <f>CHOOSE(MATCH(Inputs!$C$4,{"Pessimistic","Realistic","Optimistic"},0),Calculations!B18,Calculations!B38,Calculations!B58)</f>
        <v>X</v>
      </c>
      <c r="C42" s="33">
        <f>CHOOSE(MATCH(Inputs!$C$4,{"Pessimistic","Realistic","Optimistic"},0),Calculations!C18,Calculations!C38,Calculations!C58)</f>
        <v>30</v>
      </c>
      <c r="D42" s="33">
        <f>CHOOSE(MATCH(Inputs!$C$4,{"Pessimistic","Realistic","Optimistic"},0),Calculations!D18,Calculations!D38,Calculations!D58)</f>
        <v>0</v>
      </c>
      <c r="E42" s="33">
        <f>CHOOSE(MATCH(Inputs!$C$4,{"Pessimistic","Realistic","Optimistic"},0),Calculations!E18,Calculations!E38,Calculations!E58)</f>
        <v>30</v>
      </c>
      <c r="F42" s="34">
        <f>CHOOSE(MATCH(Inputs!$C$4,{"Pessimistic","Realistic","Optimistic"},0),Calculations!F18,Calculations!F38,Calculations!F58)</f>
        <v>9960000</v>
      </c>
      <c r="G42" s="37">
        <f>CHOOSE(MATCH(Inputs!$C$4,{"Pessimistic","Realistic","Optimistic"},0),Calculations!G18,Calculations!G38,Calculations!G58)</f>
        <v>0.2</v>
      </c>
      <c r="H42" s="34">
        <f>CHOOSE(MATCH(Inputs!$C$4,{"Pessimistic","Realistic","Optimistic"},0),Calculations!H18,Calculations!H38,Calculations!H58)</f>
        <v>1200000</v>
      </c>
      <c r="I42" s="34">
        <f>CHOOSE(MATCH(Inputs!$C$4,{"Pessimistic","Realistic","Optimistic"},0),Calculations!I18,Calculations!I38,Calculations!I58)</f>
        <v>0</v>
      </c>
    </row>
    <row r="43" spans="2:9" x14ac:dyDescent="0.3">
      <c r="B43" s="36" t="str">
        <f>CHOOSE(MATCH(Inputs!$C$4,{"Pessimistic","Realistic","Optimistic"},0),Calculations!B19,Calculations!B39,Calculations!B59)</f>
        <v>AS</v>
      </c>
      <c r="C43" s="33">
        <f>CHOOSE(MATCH(Inputs!$C$4,{"Pessimistic","Realistic","Optimistic"},0),Calculations!C19,Calculations!C39,Calculations!C59)</f>
        <v>26</v>
      </c>
      <c r="D43" s="33">
        <f>CHOOSE(MATCH(Inputs!$C$4,{"Pessimistic","Realistic","Optimistic"},0),Calculations!D19,Calculations!D39,Calculations!D59)</f>
        <v>34</v>
      </c>
      <c r="E43" s="33">
        <f>CHOOSE(MATCH(Inputs!$C$4,{"Pessimistic","Realistic","Optimistic"},0),Calculations!E19,Calculations!E39,Calculations!E59)</f>
        <v>60</v>
      </c>
      <c r="F43" s="34">
        <f>CHOOSE(MATCH(Inputs!$C$4,{"Pessimistic","Realistic","Optimistic"},0),Calculations!F19,Calculations!F39,Calculations!F59)</f>
        <v>17640000</v>
      </c>
      <c r="G43" s="37">
        <f>CHOOSE(MATCH(Inputs!$C$4,{"Pessimistic","Realistic","Optimistic"},0),Calculations!G19,Calculations!G39,Calculations!G59)</f>
        <v>0.1</v>
      </c>
      <c r="H43" s="34">
        <f>CHOOSE(MATCH(Inputs!$C$4,{"Pessimistic","Realistic","Optimistic"},0),Calculations!H19,Calculations!H39,Calculations!H59)</f>
        <v>520000</v>
      </c>
      <c r="I43" s="34">
        <f>CHOOSE(MATCH(Inputs!$C$4,{"Pessimistic","Realistic","Optimistic"},0),Calculations!I19,Calculations!I39,Calculations!I59)</f>
        <v>3400000</v>
      </c>
    </row>
    <row r="44" spans="2:9" x14ac:dyDescent="0.3">
      <c r="B44" s="36" t="str">
        <f>CHOOSE(MATCH(Inputs!$C$4,{"Pessimistic","Realistic","Optimistic"},0),Calculations!B20,Calculations!B40,Calculations!B60)</f>
        <v>A2</v>
      </c>
      <c r="C44" s="33">
        <f>CHOOSE(MATCH(Inputs!$C$4,{"Pessimistic","Realistic","Optimistic"},0),Calculations!C20,Calculations!C40,Calculations!C60)</f>
        <v>29</v>
      </c>
      <c r="D44" s="33">
        <f>CHOOSE(MATCH(Inputs!$C$4,{"Pessimistic","Realistic","Optimistic"},0),Calculations!D20,Calculations!D40,Calculations!D60)</f>
        <v>1</v>
      </c>
      <c r="E44" s="33">
        <f>CHOOSE(MATCH(Inputs!$C$4,{"Pessimistic","Realistic","Optimistic"},0),Calculations!E20,Calculations!E40,Calculations!E60)</f>
        <v>30</v>
      </c>
      <c r="F44" s="34">
        <f>CHOOSE(MATCH(Inputs!$C$4,{"Pessimistic","Realistic","Optimistic"},0),Calculations!F20,Calculations!F40,Calculations!F60)</f>
        <v>9180000</v>
      </c>
      <c r="G44" s="37">
        <f>CHOOSE(MATCH(Inputs!$C$4,{"Pessimistic","Realistic","Optimistic"},0),Calculations!G20,Calculations!G40,Calculations!G60)</f>
        <v>0</v>
      </c>
      <c r="H44" s="34">
        <f>CHOOSE(MATCH(Inputs!$C$4,{"Pessimistic","Realistic","Optimistic"},0),Calculations!H20,Calculations!H40,Calculations!H60)</f>
        <v>0</v>
      </c>
      <c r="I44" s="34">
        <f>CHOOSE(MATCH(Inputs!$C$4,{"Pessimistic","Realistic","Optimistic"},0),Calculations!I20,Calculations!I40,Calculations!I60)</f>
        <v>100000</v>
      </c>
    </row>
    <row r="45" spans="2:9" x14ac:dyDescent="0.3">
      <c r="B45" s="28" t="s">
        <v>54</v>
      </c>
      <c r="C45" s="38">
        <f>SUM(C30:C44)</f>
        <v>366</v>
      </c>
      <c r="D45" s="38">
        <f>SUM(D30:D44)</f>
        <v>104</v>
      </c>
      <c r="E45" s="38">
        <f>SUM(E30:E44)</f>
        <v>470</v>
      </c>
      <c r="F45" s="39">
        <f>SUM(F30:F44)</f>
        <v>123540000</v>
      </c>
      <c r="G45" s="40"/>
      <c r="H45" s="39">
        <f>SUM(H30:H44)</f>
        <v>7100000</v>
      </c>
      <c r="I45" s="39">
        <f>SUM(I30:I44)</f>
        <v>10400000</v>
      </c>
    </row>
  </sheetData>
  <mergeCells count="14">
    <mergeCell ref="B11:E11"/>
    <mergeCell ref="B28:I28"/>
    <mergeCell ref="N6:P6"/>
    <mergeCell ref="B7:D8"/>
    <mergeCell ref="E7:G8"/>
    <mergeCell ref="H7:J8"/>
    <mergeCell ref="K7:M8"/>
    <mergeCell ref="N7:P8"/>
    <mergeCell ref="C4:D4"/>
    <mergeCell ref="E4:K4"/>
    <mergeCell ref="B6:D6"/>
    <mergeCell ref="E6:G6"/>
    <mergeCell ref="H6:J6"/>
    <mergeCell ref="K6:M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89"/>
  <sheetViews>
    <sheetView showGridLines="0" zoomScaleNormal="100" workbookViewId="0"/>
  </sheetViews>
  <sheetFormatPr defaultColWidth="8.6640625" defaultRowHeight="14.4" x14ac:dyDescent="0.3"/>
  <cols>
    <col min="2" max="5" width="16" customWidth="1"/>
    <col min="6" max="9" width="14" customWidth="1"/>
  </cols>
  <sheetData>
    <row r="1" spans="2:9" ht="17.399999999999999" x14ac:dyDescent="0.3">
      <c r="B1" s="12" t="s">
        <v>109</v>
      </c>
    </row>
    <row r="2" spans="2:9" x14ac:dyDescent="0.3">
      <c r="B2" s="13" t="s">
        <v>110</v>
      </c>
    </row>
    <row r="4" spans="2:9" x14ac:dyDescent="0.3">
      <c r="B4" s="7" t="s">
        <v>111</v>
      </c>
      <c r="C4" s="7"/>
      <c r="D4" s="7"/>
      <c r="E4" s="7"/>
      <c r="F4" s="7"/>
      <c r="G4" s="7"/>
      <c r="H4" s="7"/>
      <c r="I4" s="7"/>
    </row>
    <row r="5" spans="2:9" ht="27.75" customHeight="1" x14ac:dyDescent="0.3">
      <c r="B5" s="17" t="s">
        <v>27</v>
      </c>
      <c r="C5" s="17" t="s">
        <v>28</v>
      </c>
      <c r="D5" s="17" t="s">
        <v>103</v>
      </c>
      <c r="E5" s="17" t="s">
        <v>104</v>
      </c>
      <c r="F5" s="17" t="s">
        <v>105</v>
      </c>
      <c r="G5" s="17" t="s">
        <v>106</v>
      </c>
      <c r="H5" s="17" t="s">
        <v>107</v>
      </c>
      <c r="I5" s="17" t="s">
        <v>108</v>
      </c>
    </row>
    <row r="6" spans="2:9" x14ac:dyDescent="0.3">
      <c r="B6" s="36" t="str">
        <f>Inputs!B8</f>
        <v>Pre-KG</v>
      </c>
      <c r="C6" s="41">
        <f>Inputs!C8</f>
        <v>0</v>
      </c>
      <c r="D6" s="41">
        <f>MAX(0,ROUND(Inputs!F8*(1+Inputs!G8),0))</f>
        <v>0</v>
      </c>
      <c r="E6" s="41">
        <f t="shared" ref="E6:E20" si="0">C6+D6</f>
        <v>0</v>
      </c>
      <c r="F6" s="42">
        <f>E6*Inputs!D8</f>
        <v>0</v>
      </c>
      <c r="G6" s="43">
        <f>MIN(1,MAX(0,Inputs!I8+Inputs!J8))</f>
        <v>0</v>
      </c>
      <c r="H6" s="42">
        <f>C6*G6*Inputs!L8</f>
        <v>0</v>
      </c>
      <c r="I6" s="42">
        <f>D6*Inputs!M8</f>
        <v>0</v>
      </c>
    </row>
    <row r="7" spans="2:9" x14ac:dyDescent="0.3">
      <c r="B7" s="36" t="str">
        <f>Inputs!B9</f>
        <v>LKG</v>
      </c>
      <c r="C7" s="41">
        <f>Inputs!C9</f>
        <v>4</v>
      </c>
      <c r="D7" s="41">
        <f>MAX(0,ROUND(Inputs!F9*(1+Inputs!G9),0))</f>
        <v>21</v>
      </c>
      <c r="E7" s="41">
        <f t="shared" si="0"/>
        <v>25</v>
      </c>
      <c r="F7" s="42">
        <f>E7*Inputs!D9</f>
        <v>5250000</v>
      </c>
      <c r="G7" s="43">
        <f>MIN(1,MAX(0,Inputs!I9+Inputs!J9))</f>
        <v>0</v>
      </c>
      <c r="H7" s="42">
        <f>C7*G7*Inputs!L9</f>
        <v>0</v>
      </c>
      <c r="I7" s="42">
        <f>D7*Inputs!M9</f>
        <v>2100000</v>
      </c>
    </row>
    <row r="8" spans="2:9" x14ac:dyDescent="0.3">
      <c r="B8" s="36" t="str">
        <f>Inputs!B10</f>
        <v>UKG</v>
      </c>
      <c r="C8" s="41">
        <f>Inputs!C10</f>
        <v>15</v>
      </c>
      <c r="D8" s="41">
        <f>MAX(0,ROUND(Inputs!F10*(1+Inputs!G10),0))</f>
        <v>13</v>
      </c>
      <c r="E8" s="41">
        <f t="shared" si="0"/>
        <v>28</v>
      </c>
      <c r="F8" s="42">
        <f>E8*Inputs!D10</f>
        <v>5628000</v>
      </c>
      <c r="G8" s="43">
        <f>MIN(1,MAX(0,Inputs!I10+Inputs!J10))</f>
        <v>0</v>
      </c>
      <c r="H8" s="42">
        <f>C8*G8*Inputs!L10</f>
        <v>0</v>
      </c>
      <c r="I8" s="42">
        <f>D8*Inputs!M10</f>
        <v>1300000</v>
      </c>
    </row>
    <row r="9" spans="2:9" x14ac:dyDescent="0.3">
      <c r="B9" s="36" t="str">
        <f>Inputs!B11</f>
        <v>I</v>
      </c>
      <c r="C9" s="41">
        <f>Inputs!C11</f>
        <v>23</v>
      </c>
      <c r="D9" s="41">
        <f>MAX(0,ROUND(Inputs!F11*(1+Inputs!G11),0))</f>
        <v>12</v>
      </c>
      <c r="E9" s="41">
        <f t="shared" si="0"/>
        <v>35</v>
      </c>
      <c r="F9" s="42">
        <f>E9*Inputs!D11</f>
        <v>7595000</v>
      </c>
      <c r="G9" s="43">
        <f>MIN(1,MAX(0,Inputs!I11+Inputs!J11))</f>
        <v>0</v>
      </c>
      <c r="H9" s="42">
        <f>C9*G9*Inputs!L11</f>
        <v>0</v>
      </c>
      <c r="I9" s="42">
        <f>D9*Inputs!M11</f>
        <v>1200000</v>
      </c>
    </row>
    <row r="10" spans="2:9" x14ac:dyDescent="0.3">
      <c r="B10" s="36" t="str">
        <f>Inputs!B12</f>
        <v>II</v>
      </c>
      <c r="C10" s="41">
        <f>Inputs!C12</f>
        <v>33</v>
      </c>
      <c r="D10" s="41">
        <f>MAX(0,ROUND(Inputs!F12*(1+Inputs!G12),0))</f>
        <v>0</v>
      </c>
      <c r="E10" s="41">
        <f t="shared" si="0"/>
        <v>33</v>
      </c>
      <c r="F10" s="42">
        <f>E10*Inputs!D12</f>
        <v>7161000</v>
      </c>
      <c r="G10" s="43">
        <f>MIN(1,MAX(0,Inputs!I12+Inputs!J12))</f>
        <v>0</v>
      </c>
      <c r="H10" s="42">
        <f>C10*G10*Inputs!L12</f>
        <v>0</v>
      </c>
      <c r="I10" s="42">
        <f>D10*Inputs!M12</f>
        <v>0</v>
      </c>
    </row>
    <row r="11" spans="2:9" x14ac:dyDescent="0.3">
      <c r="B11" s="36" t="str">
        <f>Inputs!B13</f>
        <v>III</v>
      </c>
      <c r="C11" s="41">
        <f>Inputs!C13</f>
        <v>34</v>
      </c>
      <c r="D11" s="41">
        <f>MAX(0,ROUND(Inputs!F13*(1+Inputs!G13),0))</f>
        <v>0</v>
      </c>
      <c r="E11" s="41">
        <f t="shared" si="0"/>
        <v>34</v>
      </c>
      <c r="F11" s="42">
        <f>E11*Inputs!D13</f>
        <v>7718000</v>
      </c>
      <c r="G11" s="43">
        <f>MIN(1,MAX(0,Inputs!I13+Inputs!J13))</f>
        <v>0</v>
      </c>
      <c r="H11" s="42">
        <f>C11*G11*Inputs!L13</f>
        <v>0</v>
      </c>
      <c r="I11" s="42">
        <f>D11*Inputs!M13</f>
        <v>0</v>
      </c>
    </row>
    <row r="12" spans="2:9" x14ac:dyDescent="0.3">
      <c r="B12" s="36" t="str">
        <f>Inputs!B14</f>
        <v>IV</v>
      </c>
      <c r="C12" s="41">
        <f>Inputs!C14</f>
        <v>32</v>
      </c>
      <c r="D12" s="41">
        <f>MAX(0,ROUND(Inputs!F14*(1+Inputs!G14),0))</f>
        <v>0</v>
      </c>
      <c r="E12" s="41">
        <f t="shared" si="0"/>
        <v>32</v>
      </c>
      <c r="F12" s="42">
        <f>E12*Inputs!D14</f>
        <v>7424000</v>
      </c>
      <c r="G12" s="43">
        <f>MIN(1,MAX(0,Inputs!I14+Inputs!J14))</f>
        <v>0</v>
      </c>
      <c r="H12" s="42">
        <f>C12*G12*Inputs!L14</f>
        <v>0</v>
      </c>
      <c r="I12" s="42">
        <f>D12*Inputs!M14</f>
        <v>0</v>
      </c>
    </row>
    <row r="13" spans="2:9" x14ac:dyDescent="0.3">
      <c r="B13" s="36" t="str">
        <f>Inputs!B15</f>
        <v>V</v>
      </c>
      <c r="C13" s="41">
        <f>Inputs!C15</f>
        <v>31</v>
      </c>
      <c r="D13" s="41">
        <f>MAX(0,ROUND(Inputs!F15*(1+Inputs!G15),0))</f>
        <v>1</v>
      </c>
      <c r="E13" s="41">
        <f t="shared" si="0"/>
        <v>32</v>
      </c>
      <c r="F13" s="42">
        <f>E13*Inputs!D15</f>
        <v>8128000</v>
      </c>
      <c r="G13" s="43">
        <f>MIN(1,MAX(0,Inputs!I15+Inputs!J15))</f>
        <v>0</v>
      </c>
      <c r="H13" s="42">
        <f>C13*G13*Inputs!L15</f>
        <v>0</v>
      </c>
      <c r="I13" s="42">
        <f>D13*Inputs!M15</f>
        <v>100000</v>
      </c>
    </row>
    <row r="14" spans="2:9" x14ac:dyDescent="0.3">
      <c r="B14" s="36" t="str">
        <f>Inputs!B16</f>
        <v>VI</v>
      </c>
      <c r="C14" s="41">
        <f>Inputs!C16</f>
        <v>31</v>
      </c>
      <c r="D14" s="41">
        <f>MAX(0,ROUND(Inputs!F16*(1+Inputs!G16),0))</f>
        <v>1</v>
      </c>
      <c r="E14" s="41">
        <f t="shared" si="0"/>
        <v>32</v>
      </c>
      <c r="F14" s="42">
        <f>E14*Inputs!D16</f>
        <v>8640000</v>
      </c>
      <c r="G14" s="43">
        <f>MIN(1,MAX(0,Inputs!I16+Inputs!J16))</f>
        <v>0.1</v>
      </c>
      <c r="H14" s="42">
        <f>C14*G14*Inputs!L16</f>
        <v>620000</v>
      </c>
      <c r="I14" s="42">
        <f>D14*Inputs!M16</f>
        <v>100000</v>
      </c>
    </row>
    <row r="15" spans="2:9" x14ac:dyDescent="0.3">
      <c r="B15" s="36" t="str">
        <f>Inputs!B17</f>
        <v>VII</v>
      </c>
      <c r="C15" s="41">
        <f>Inputs!C17</f>
        <v>27</v>
      </c>
      <c r="D15" s="41">
        <f>MAX(0,ROUND(Inputs!F17*(1+Inputs!G17),0))</f>
        <v>2</v>
      </c>
      <c r="E15" s="41">
        <f t="shared" si="0"/>
        <v>29</v>
      </c>
      <c r="F15" s="42">
        <f>E15*Inputs!D17</f>
        <v>8352000</v>
      </c>
      <c r="G15" s="43">
        <f>MIN(1,MAX(0,Inputs!I17+Inputs!J17))</f>
        <v>0.1</v>
      </c>
      <c r="H15" s="42">
        <f>C15*G15*Inputs!L17</f>
        <v>540000</v>
      </c>
      <c r="I15" s="42">
        <f>D15*Inputs!M17</f>
        <v>200000</v>
      </c>
    </row>
    <row r="16" spans="2:9" x14ac:dyDescent="0.3">
      <c r="B16" s="36" t="str">
        <f>Inputs!B18</f>
        <v>VIII</v>
      </c>
      <c r="C16" s="41">
        <f>Inputs!C18</f>
        <v>25</v>
      </c>
      <c r="D16" s="41">
        <f>MAX(0,ROUND(Inputs!F18*(1+Inputs!G18),0))</f>
        <v>4</v>
      </c>
      <c r="E16" s="41">
        <f t="shared" si="0"/>
        <v>29</v>
      </c>
      <c r="F16" s="42">
        <f>E16*Inputs!D18</f>
        <v>8816000</v>
      </c>
      <c r="G16" s="43">
        <f>MIN(1,MAX(0,Inputs!I18+Inputs!J18))</f>
        <v>0.19999999999999998</v>
      </c>
      <c r="H16" s="42">
        <f>C16*G16*Inputs!L18</f>
        <v>1000000</v>
      </c>
      <c r="I16" s="42">
        <f>D16*Inputs!M18</f>
        <v>400000</v>
      </c>
    </row>
    <row r="17" spans="2:9" x14ac:dyDescent="0.3">
      <c r="B17" s="36" t="str">
        <f>Inputs!B19</f>
        <v>IX</v>
      </c>
      <c r="C17" s="41">
        <f>Inputs!C19</f>
        <v>26</v>
      </c>
      <c r="D17" s="41">
        <f>MAX(0,ROUND(Inputs!F19*(1+Inputs!G19),0))</f>
        <v>3</v>
      </c>
      <c r="E17" s="41">
        <f t="shared" si="0"/>
        <v>29</v>
      </c>
      <c r="F17" s="42">
        <f>E17*Inputs!D19</f>
        <v>9251000</v>
      </c>
      <c r="G17" s="43">
        <f>MIN(1,MAX(0,Inputs!I19+Inputs!J19))</f>
        <v>0.19999999999999998</v>
      </c>
      <c r="H17" s="42">
        <f>C17*G17*Inputs!L19</f>
        <v>1039999.9999999999</v>
      </c>
      <c r="I17" s="42">
        <f>D17*Inputs!M19</f>
        <v>300000</v>
      </c>
    </row>
    <row r="18" spans="2:9" x14ac:dyDescent="0.3">
      <c r="B18" s="36" t="str">
        <f>Inputs!B20</f>
        <v>X</v>
      </c>
      <c r="C18" s="41">
        <f>Inputs!C20</f>
        <v>30</v>
      </c>
      <c r="D18" s="41">
        <f>MAX(0,ROUND(Inputs!F20*(1+Inputs!G20),0))</f>
        <v>0</v>
      </c>
      <c r="E18" s="41">
        <f t="shared" si="0"/>
        <v>30</v>
      </c>
      <c r="F18" s="42">
        <f>E18*Inputs!D20</f>
        <v>9960000</v>
      </c>
      <c r="G18" s="43">
        <f>MIN(1,MAX(0,Inputs!I20+Inputs!J20))</f>
        <v>0.1</v>
      </c>
      <c r="H18" s="42">
        <f>C18*G18*Inputs!L20</f>
        <v>600000</v>
      </c>
      <c r="I18" s="42">
        <f>D18*Inputs!M20</f>
        <v>0</v>
      </c>
    </row>
    <row r="19" spans="2:9" x14ac:dyDescent="0.3">
      <c r="B19" s="36" t="str">
        <f>Inputs!B21</f>
        <v>AS</v>
      </c>
      <c r="C19" s="41">
        <f>Inputs!C21</f>
        <v>26</v>
      </c>
      <c r="D19" s="41">
        <f>MAX(0,ROUND(Inputs!F21*(1+Inputs!G21),0))</f>
        <v>26</v>
      </c>
      <c r="E19" s="41">
        <f t="shared" si="0"/>
        <v>52</v>
      </c>
      <c r="F19" s="42">
        <f>E19*Inputs!D21</f>
        <v>15288000</v>
      </c>
      <c r="G19" s="43">
        <f>MIN(1,MAX(0,Inputs!I21+Inputs!J21))</f>
        <v>0</v>
      </c>
      <c r="H19" s="42">
        <f>C19*G19*Inputs!L21</f>
        <v>0</v>
      </c>
      <c r="I19" s="42">
        <f>D19*Inputs!M21</f>
        <v>2600000</v>
      </c>
    </row>
    <row r="20" spans="2:9" x14ac:dyDescent="0.3">
      <c r="B20" s="36" t="str">
        <f>Inputs!B22</f>
        <v>A2</v>
      </c>
      <c r="C20" s="41">
        <f>Inputs!C22</f>
        <v>29</v>
      </c>
      <c r="D20" s="41">
        <f>MAX(0,ROUND(Inputs!F22*(1+Inputs!G22),0))</f>
        <v>1</v>
      </c>
      <c r="E20" s="41">
        <f t="shared" si="0"/>
        <v>30</v>
      </c>
      <c r="F20" s="42">
        <f>E20*Inputs!D22</f>
        <v>9180000</v>
      </c>
      <c r="G20" s="43">
        <f>MIN(1,MAX(0,Inputs!I22+Inputs!J22))</f>
        <v>0</v>
      </c>
      <c r="H20" s="42">
        <f>C20*G20*Inputs!L22</f>
        <v>0</v>
      </c>
      <c r="I20" s="42">
        <f>D20*Inputs!M22</f>
        <v>100000</v>
      </c>
    </row>
    <row r="21" spans="2:9" x14ac:dyDescent="0.3">
      <c r="B21" s="28" t="s">
        <v>54</v>
      </c>
      <c r="C21" s="38">
        <f>SUM(C6:C20)</f>
        <v>366</v>
      </c>
      <c r="D21" s="38">
        <f>SUM(D6:D20)</f>
        <v>84</v>
      </c>
      <c r="E21" s="38">
        <f>SUM(E6:E20)</f>
        <v>450</v>
      </c>
      <c r="F21" s="39">
        <f>SUM(F6:F20)</f>
        <v>118391000</v>
      </c>
      <c r="G21" s="40"/>
      <c r="H21" s="39">
        <f>SUM(H6:H20)</f>
        <v>3800000</v>
      </c>
      <c r="I21" s="39">
        <f>SUM(I6:I20)</f>
        <v>8400000</v>
      </c>
    </row>
    <row r="24" spans="2:9" x14ac:dyDescent="0.3">
      <c r="B24" s="7" t="s">
        <v>112</v>
      </c>
      <c r="C24" s="7"/>
      <c r="D24" s="7"/>
      <c r="E24" s="7"/>
      <c r="F24" s="7"/>
      <c r="G24" s="7"/>
      <c r="H24" s="7"/>
      <c r="I24" s="7"/>
    </row>
    <row r="25" spans="2:9" ht="27.75" customHeight="1" x14ac:dyDescent="0.3">
      <c r="B25" s="17" t="s">
        <v>27</v>
      </c>
      <c r="C25" s="17" t="s">
        <v>28</v>
      </c>
      <c r="D25" s="17" t="s">
        <v>103</v>
      </c>
      <c r="E25" s="17" t="s">
        <v>104</v>
      </c>
      <c r="F25" s="17" t="s">
        <v>105</v>
      </c>
      <c r="G25" s="17" t="s">
        <v>106</v>
      </c>
      <c r="H25" s="17" t="s">
        <v>107</v>
      </c>
      <c r="I25" s="17" t="s">
        <v>108</v>
      </c>
    </row>
    <row r="26" spans="2:9" x14ac:dyDescent="0.3">
      <c r="B26" s="36" t="str">
        <f>Inputs!B8</f>
        <v>Pre-KG</v>
      </c>
      <c r="C26" s="41">
        <f>Inputs!C8</f>
        <v>0</v>
      </c>
      <c r="D26" s="41">
        <f>Inputs!F8</f>
        <v>0</v>
      </c>
      <c r="E26" s="41">
        <f t="shared" ref="E26:E40" si="1">C26+D26</f>
        <v>0</v>
      </c>
      <c r="F26" s="42">
        <f>E26*Inputs!D8</f>
        <v>0</v>
      </c>
      <c r="G26" s="43">
        <f>Inputs!I8</f>
        <v>0</v>
      </c>
      <c r="H26" s="42">
        <f>C26*G26*Inputs!L8</f>
        <v>0</v>
      </c>
      <c r="I26" s="42">
        <f>D26*Inputs!M8</f>
        <v>0</v>
      </c>
    </row>
    <row r="27" spans="2:9" x14ac:dyDescent="0.3">
      <c r="B27" s="36" t="str">
        <f>Inputs!B9</f>
        <v>LKG</v>
      </c>
      <c r="C27" s="41">
        <f>Inputs!C9</f>
        <v>4</v>
      </c>
      <c r="D27" s="41">
        <f>Inputs!F9</f>
        <v>26</v>
      </c>
      <c r="E27" s="41">
        <f t="shared" si="1"/>
        <v>30</v>
      </c>
      <c r="F27" s="42">
        <f>E27*Inputs!D9</f>
        <v>6300000</v>
      </c>
      <c r="G27" s="43">
        <f>Inputs!I9</f>
        <v>0</v>
      </c>
      <c r="H27" s="42">
        <f>C27*G27*Inputs!L9</f>
        <v>0</v>
      </c>
      <c r="I27" s="42">
        <f>D27*Inputs!M9</f>
        <v>2600000</v>
      </c>
    </row>
    <row r="28" spans="2:9" x14ac:dyDescent="0.3">
      <c r="B28" s="36" t="str">
        <f>Inputs!B10</f>
        <v>UKG</v>
      </c>
      <c r="C28" s="41">
        <f>Inputs!C10</f>
        <v>15</v>
      </c>
      <c r="D28" s="41">
        <f>Inputs!F10</f>
        <v>15</v>
      </c>
      <c r="E28" s="41">
        <f t="shared" si="1"/>
        <v>30</v>
      </c>
      <c r="F28" s="42">
        <f>E28*Inputs!D10</f>
        <v>6030000</v>
      </c>
      <c r="G28" s="43">
        <f>Inputs!I10</f>
        <v>0</v>
      </c>
      <c r="H28" s="42">
        <f>C28*G28*Inputs!L10</f>
        <v>0</v>
      </c>
      <c r="I28" s="42">
        <f>D28*Inputs!M10</f>
        <v>1500000</v>
      </c>
    </row>
    <row r="29" spans="2:9" x14ac:dyDescent="0.3">
      <c r="B29" s="36" t="str">
        <f>Inputs!B11</f>
        <v>I</v>
      </c>
      <c r="C29" s="41">
        <f>Inputs!C11</f>
        <v>23</v>
      </c>
      <c r="D29" s="41">
        <f>Inputs!F11</f>
        <v>14</v>
      </c>
      <c r="E29" s="41">
        <f t="shared" si="1"/>
        <v>37</v>
      </c>
      <c r="F29" s="42">
        <f>E29*Inputs!D11</f>
        <v>8029000</v>
      </c>
      <c r="G29" s="43">
        <f>Inputs!I11</f>
        <v>0</v>
      </c>
      <c r="H29" s="42">
        <f>C29*G29*Inputs!L11</f>
        <v>0</v>
      </c>
      <c r="I29" s="42">
        <f>D29*Inputs!M11</f>
        <v>1400000</v>
      </c>
    </row>
    <row r="30" spans="2:9" x14ac:dyDescent="0.3">
      <c r="B30" s="36" t="str">
        <f>Inputs!B12</f>
        <v>II</v>
      </c>
      <c r="C30" s="41">
        <f>Inputs!C12</f>
        <v>33</v>
      </c>
      <c r="D30" s="41">
        <f>Inputs!F12</f>
        <v>0</v>
      </c>
      <c r="E30" s="41">
        <f t="shared" si="1"/>
        <v>33</v>
      </c>
      <c r="F30" s="42">
        <f>E30*Inputs!D12</f>
        <v>7161000</v>
      </c>
      <c r="G30" s="43">
        <f>Inputs!I12</f>
        <v>0</v>
      </c>
      <c r="H30" s="42">
        <f>C30*G30*Inputs!L12</f>
        <v>0</v>
      </c>
      <c r="I30" s="42">
        <f>D30*Inputs!M12</f>
        <v>0</v>
      </c>
    </row>
    <row r="31" spans="2:9" x14ac:dyDescent="0.3">
      <c r="B31" s="36" t="str">
        <f>Inputs!B13</f>
        <v>III</v>
      </c>
      <c r="C31" s="41">
        <f>Inputs!C13</f>
        <v>34</v>
      </c>
      <c r="D31" s="41">
        <f>Inputs!F13</f>
        <v>0</v>
      </c>
      <c r="E31" s="41">
        <f t="shared" si="1"/>
        <v>34</v>
      </c>
      <c r="F31" s="42">
        <f>E31*Inputs!D13</f>
        <v>7718000</v>
      </c>
      <c r="G31" s="43">
        <f>Inputs!I13</f>
        <v>0</v>
      </c>
      <c r="H31" s="42">
        <f>C31*G31*Inputs!L13</f>
        <v>0</v>
      </c>
      <c r="I31" s="42">
        <f>D31*Inputs!M13</f>
        <v>0</v>
      </c>
    </row>
    <row r="32" spans="2:9" x14ac:dyDescent="0.3">
      <c r="B32" s="36" t="str">
        <f>Inputs!B14</f>
        <v>IV</v>
      </c>
      <c r="C32" s="41">
        <f>Inputs!C14</f>
        <v>32</v>
      </c>
      <c r="D32" s="41">
        <f>Inputs!F14</f>
        <v>0</v>
      </c>
      <c r="E32" s="41">
        <f t="shared" si="1"/>
        <v>32</v>
      </c>
      <c r="F32" s="42">
        <f>E32*Inputs!D14</f>
        <v>7424000</v>
      </c>
      <c r="G32" s="43">
        <f>Inputs!I14</f>
        <v>0</v>
      </c>
      <c r="H32" s="42">
        <f>C32*G32*Inputs!L14</f>
        <v>0</v>
      </c>
      <c r="I32" s="42">
        <f>D32*Inputs!M14</f>
        <v>0</v>
      </c>
    </row>
    <row r="33" spans="2:9" x14ac:dyDescent="0.3">
      <c r="B33" s="36" t="str">
        <f>Inputs!B15</f>
        <v>V</v>
      </c>
      <c r="C33" s="41">
        <f>Inputs!C15</f>
        <v>31</v>
      </c>
      <c r="D33" s="41">
        <f>Inputs!F15</f>
        <v>1</v>
      </c>
      <c r="E33" s="41">
        <f t="shared" si="1"/>
        <v>32</v>
      </c>
      <c r="F33" s="42">
        <f>E33*Inputs!D15</f>
        <v>8128000</v>
      </c>
      <c r="G33" s="43">
        <f>Inputs!I15</f>
        <v>0</v>
      </c>
      <c r="H33" s="42">
        <f>C33*G33*Inputs!L15</f>
        <v>0</v>
      </c>
      <c r="I33" s="42">
        <f>D33*Inputs!M15</f>
        <v>100000</v>
      </c>
    </row>
    <row r="34" spans="2:9" x14ac:dyDescent="0.3">
      <c r="B34" s="36" t="str">
        <f>Inputs!B16</f>
        <v>VI</v>
      </c>
      <c r="C34" s="41">
        <f>Inputs!C16</f>
        <v>31</v>
      </c>
      <c r="D34" s="41">
        <f>Inputs!F16</f>
        <v>1</v>
      </c>
      <c r="E34" s="41">
        <f t="shared" si="1"/>
        <v>32</v>
      </c>
      <c r="F34" s="42">
        <f>E34*Inputs!D16</f>
        <v>8640000</v>
      </c>
      <c r="G34" s="43">
        <f>Inputs!I16</f>
        <v>0.2</v>
      </c>
      <c r="H34" s="42">
        <f>C34*G34*Inputs!L16</f>
        <v>1240000</v>
      </c>
      <c r="I34" s="42">
        <f>D34*Inputs!M16</f>
        <v>100000</v>
      </c>
    </row>
    <row r="35" spans="2:9" x14ac:dyDescent="0.3">
      <c r="B35" s="36" t="str">
        <f>Inputs!B17</f>
        <v>VII</v>
      </c>
      <c r="C35" s="41">
        <f>Inputs!C17</f>
        <v>27</v>
      </c>
      <c r="D35" s="41">
        <f>Inputs!F17</f>
        <v>3</v>
      </c>
      <c r="E35" s="41">
        <f t="shared" si="1"/>
        <v>30</v>
      </c>
      <c r="F35" s="42">
        <f>E35*Inputs!D17</f>
        <v>8640000</v>
      </c>
      <c r="G35" s="43">
        <f>Inputs!I17</f>
        <v>0.2</v>
      </c>
      <c r="H35" s="42">
        <f>C35*G35*Inputs!L17</f>
        <v>1080000</v>
      </c>
      <c r="I35" s="42">
        <f>D35*Inputs!M17</f>
        <v>300000</v>
      </c>
    </row>
    <row r="36" spans="2:9" x14ac:dyDescent="0.3">
      <c r="B36" s="36" t="str">
        <f>Inputs!B18</f>
        <v>VIII</v>
      </c>
      <c r="C36" s="41">
        <f>Inputs!C18</f>
        <v>25</v>
      </c>
      <c r="D36" s="41">
        <f>Inputs!F18</f>
        <v>5</v>
      </c>
      <c r="E36" s="41">
        <f t="shared" si="1"/>
        <v>30</v>
      </c>
      <c r="F36" s="42">
        <f>E36*Inputs!D18</f>
        <v>9120000</v>
      </c>
      <c r="G36" s="43">
        <f>Inputs!I18</f>
        <v>0.3</v>
      </c>
      <c r="H36" s="42">
        <f>C36*G36*Inputs!L18</f>
        <v>1500000</v>
      </c>
      <c r="I36" s="42">
        <f>D36*Inputs!M18</f>
        <v>500000</v>
      </c>
    </row>
    <row r="37" spans="2:9" x14ac:dyDescent="0.3">
      <c r="B37" s="36" t="str">
        <f>Inputs!B19</f>
        <v>IX</v>
      </c>
      <c r="C37" s="41">
        <f>Inputs!C19</f>
        <v>26</v>
      </c>
      <c r="D37" s="41">
        <f>Inputs!F19</f>
        <v>4</v>
      </c>
      <c r="E37" s="41">
        <f t="shared" si="1"/>
        <v>30</v>
      </c>
      <c r="F37" s="42">
        <f>E37*Inputs!D19</f>
        <v>9570000</v>
      </c>
      <c r="G37" s="43">
        <f>Inputs!I19</f>
        <v>0.3</v>
      </c>
      <c r="H37" s="42">
        <f>C37*G37*Inputs!L19</f>
        <v>1560000</v>
      </c>
      <c r="I37" s="42">
        <f>D37*Inputs!M19</f>
        <v>400000</v>
      </c>
    </row>
    <row r="38" spans="2:9" x14ac:dyDescent="0.3">
      <c r="B38" s="36" t="str">
        <f>Inputs!B20</f>
        <v>X</v>
      </c>
      <c r="C38" s="41">
        <f>Inputs!C20</f>
        <v>30</v>
      </c>
      <c r="D38" s="41">
        <f>Inputs!F20</f>
        <v>0</v>
      </c>
      <c r="E38" s="41">
        <f t="shared" si="1"/>
        <v>30</v>
      </c>
      <c r="F38" s="42">
        <f>E38*Inputs!D20</f>
        <v>9960000</v>
      </c>
      <c r="G38" s="43">
        <f>Inputs!I20</f>
        <v>0.2</v>
      </c>
      <c r="H38" s="42">
        <f>C38*G38*Inputs!L20</f>
        <v>1200000</v>
      </c>
      <c r="I38" s="42">
        <f>D38*Inputs!M20</f>
        <v>0</v>
      </c>
    </row>
    <row r="39" spans="2:9" x14ac:dyDescent="0.3">
      <c r="B39" s="36" t="str">
        <f>Inputs!B21</f>
        <v>AS</v>
      </c>
      <c r="C39" s="41">
        <f>Inputs!C21</f>
        <v>26</v>
      </c>
      <c r="D39" s="41">
        <f>Inputs!F21</f>
        <v>34</v>
      </c>
      <c r="E39" s="41">
        <f t="shared" si="1"/>
        <v>60</v>
      </c>
      <c r="F39" s="42">
        <f>E39*Inputs!D21</f>
        <v>17640000</v>
      </c>
      <c r="G39" s="43">
        <f>Inputs!I21</f>
        <v>0.1</v>
      </c>
      <c r="H39" s="42">
        <f>C39*G39*Inputs!L21</f>
        <v>520000</v>
      </c>
      <c r="I39" s="42">
        <f>D39*Inputs!M21</f>
        <v>3400000</v>
      </c>
    </row>
    <row r="40" spans="2:9" x14ac:dyDescent="0.3">
      <c r="B40" s="36" t="str">
        <f>Inputs!B22</f>
        <v>A2</v>
      </c>
      <c r="C40" s="41">
        <f>Inputs!C22</f>
        <v>29</v>
      </c>
      <c r="D40" s="41">
        <f>Inputs!F22</f>
        <v>1</v>
      </c>
      <c r="E40" s="41">
        <f t="shared" si="1"/>
        <v>30</v>
      </c>
      <c r="F40" s="42">
        <f>E40*Inputs!D22</f>
        <v>9180000</v>
      </c>
      <c r="G40" s="43">
        <f>Inputs!I22</f>
        <v>0</v>
      </c>
      <c r="H40" s="42">
        <f>C40*G40*Inputs!L22</f>
        <v>0</v>
      </c>
      <c r="I40" s="42">
        <f>D40*Inputs!M22</f>
        <v>100000</v>
      </c>
    </row>
    <row r="41" spans="2:9" x14ac:dyDescent="0.3">
      <c r="B41" s="28" t="s">
        <v>54</v>
      </c>
      <c r="C41" s="38">
        <f>SUM(C26:C40)</f>
        <v>366</v>
      </c>
      <c r="D41" s="38">
        <f>SUM(D26:D40)</f>
        <v>104</v>
      </c>
      <c r="E41" s="38">
        <f>SUM(E26:E40)</f>
        <v>470</v>
      </c>
      <c r="F41" s="39">
        <f>SUM(F26:F40)</f>
        <v>123540000</v>
      </c>
      <c r="G41" s="40"/>
      <c r="H41" s="39">
        <f>SUM(H26:H40)</f>
        <v>7100000</v>
      </c>
      <c r="I41" s="39">
        <f>SUM(I26:I40)</f>
        <v>10400000</v>
      </c>
    </row>
    <row r="44" spans="2:9" x14ac:dyDescent="0.3">
      <c r="B44" s="7" t="s">
        <v>113</v>
      </c>
      <c r="C44" s="7"/>
      <c r="D44" s="7"/>
      <c r="E44" s="7"/>
      <c r="F44" s="7"/>
      <c r="G44" s="7"/>
      <c r="H44" s="7"/>
      <c r="I44" s="7"/>
    </row>
    <row r="45" spans="2:9" ht="27.75" customHeight="1" x14ac:dyDescent="0.3">
      <c r="B45" s="17" t="s">
        <v>27</v>
      </c>
      <c r="C45" s="17" t="s">
        <v>28</v>
      </c>
      <c r="D45" s="17" t="s">
        <v>103</v>
      </c>
      <c r="E45" s="17" t="s">
        <v>104</v>
      </c>
      <c r="F45" s="17" t="s">
        <v>105</v>
      </c>
      <c r="G45" s="17" t="s">
        <v>106</v>
      </c>
      <c r="H45" s="17" t="s">
        <v>107</v>
      </c>
      <c r="I45" s="17" t="s">
        <v>108</v>
      </c>
    </row>
    <row r="46" spans="2:9" x14ac:dyDescent="0.3">
      <c r="B46" s="36" t="str">
        <f>Inputs!B8</f>
        <v>Pre-KG</v>
      </c>
      <c r="C46" s="41">
        <f>Inputs!C8</f>
        <v>0</v>
      </c>
      <c r="D46" s="41">
        <f>MAX(0,ROUND(Inputs!F8*(1+Inputs!H8),0))</f>
        <v>0</v>
      </c>
      <c r="E46" s="41">
        <f t="shared" ref="E46:E60" si="2">C46+D46</f>
        <v>0</v>
      </c>
      <c r="F46" s="42">
        <f>E46*Inputs!D8</f>
        <v>0</v>
      </c>
      <c r="G46" s="43">
        <f>MIN(1,MAX(0,Inputs!I8+Inputs!K8))</f>
        <v>0</v>
      </c>
      <c r="H46" s="42">
        <f>C46*G46*Inputs!L8</f>
        <v>0</v>
      </c>
      <c r="I46" s="42">
        <f>D46*Inputs!M8</f>
        <v>0</v>
      </c>
    </row>
    <row r="47" spans="2:9" x14ac:dyDescent="0.3">
      <c r="B47" s="36" t="str">
        <f>Inputs!B9</f>
        <v>LKG</v>
      </c>
      <c r="C47" s="41">
        <f>Inputs!C9</f>
        <v>4</v>
      </c>
      <c r="D47" s="41">
        <f>MAX(0,ROUND(Inputs!F9*(1+Inputs!H9),0))</f>
        <v>31</v>
      </c>
      <c r="E47" s="41">
        <f t="shared" si="2"/>
        <v>35</v>
      </c>
      <c r="F47" s="42">
        <f>E47*Inputs!D9</f>
        <v>7350000</v>
      </c>
      <c r="G47" s="43">
        <f>MIN(1,MAX(0,Inputs!I9+Inputs!K9))</f>
        <v>0</v>
      </c>
      <c r="H47" s="42">
        <f>C47*G47*Inputs!L9</f>
        <v>0</v>
      </c>
      <c r="I47" s="42">
        <f>D47*Inputs!M9</f>
        <v>3100000</v>
      </c>
    </row>
    <row r="48" spans="2:9" x14ac:dyDescent="0.3">
      <c r="B48" s="36" t="str">
        <f>Inputs!B10</f>
        <v>UKG</v>
      </c>
      <c r="C48" s="41">
        <f>Inputs!C10</f>
        <v>15</v>
      </c>
      <c r="D48" s="41">
        <f>MAX(0,ROUND(Inputs!F10*(1+Inputs!H10),0))</f>
        <v>18</v>
      </c>
      <c r="E48" s="41">
        <f t="shared" si="2"/>
        <v>33</v>
      </c>
      <c r="F48" s="42">
        <f>E48*Inputs!D10</f>
        <v>6633000</v>
      </c>
      <c r="G48" s="43">
        <f>MIN(1,MAX(0,Inputs!I10+Inputs!K10))</f>
        <v>0</v>
      </c>
      <c r="H48" s="42">
        <f>C48*G48*Inputs!L10</f>
        <v>0</v>
      </c>
      <c r="I48" s="42">
        <f>D48*Inputs!M10</f>
        <v>1800000</v>
      </c>
    </row>
    <row r="49" spans="2:9" x14ac:dyDescent="0.3">
      <c r="B49" s="36" t="str">
        <f>Inputs!B11</f>
        <v>I</v>
      </c>
      <c r="C49" s="41">
        <f>Inputs!C11</f>
        <v>23</v>
      </c>
      <c r="D49" s="41">
        <f>MAX(0,ROUND(Inputs!F11*(1+Inputs!H11),0))</f>
        <v>18</v>
      </c>
      <c r="E49" s="41">
        <f t="shared" si="2"/>
        <v>41</v>
      </c>
      <c r="F49" s="42">
        <f>E49*Inputs!D11</f>
        <v>8897000</v>
      </c>
      <c r="G49" s="43">
        <f>MIN(1,MAX(0,Inputs!I11+Inputs!K11))</f>
        <v>0</v>
      </c>
      <c r="H49" s="42">
        <f>C49*G49*Inputs!L11</f>
        <v>0</v>
      </c>
      <c r="I49" s="42">
        <f>D49*Inputs!M11</f>
        <v>1800000</v>
      </c>
    </row>
    <row r="50" spans="2:9" x14ac:dyDescent="0.3">
      <c r="B50" s="36" t="str">
        <f>Inputs!B12</f>
        <v>II</v>
      </c>
      <c r="C50" s="41">
        <f>Inputs!C12</f>
        <v>33</v>
      </c>
      <c r="D50" s="41">
        <f>MAX(0,ROUND(Inputs!F12*(1+Inputs!H12),0))</f>
        <v>0</v>
      </c>
      <c r="E50" s="41">
        <f t="shared" si="2"/>
        <v>33</v>
      </c>
      <c r="F50" s="42">
        <f>E50*Inputs!D12</f>
        <v>7161000</v>
      </c>
      <c r="G50" s="43">
        <f>MIN(1,MAX(0,Inputs!I12+Inputs!K12))</f>
        <v>0</v>
      </c>
      <c r="H50" s="42">
        <f>C50*G50*Inputs!L12</f>
        <v>0</v>
      </c>
      <c r="I50" s="42">
        <f>D50*Inputs!M12</f>
        <v>0</v>
      </c>
    </row>
    <row r="51" spans="2:9" x14ac:dyDescent="0.3">
      <c r="B51" s="36" t="str">
        <f>Inputs!B13</f>
        <v>III</v>
      </c>
      <c r="C51" s="41">
        <f>Inputs!C13</f>
        <v>34</v>
      </c>
      <c r="D51" s="41">
        <f>MAX(0,ROUND(Inputs!F13*(1+Inputs!H13),0))</f>
        <v>0</v>
      </c>
      <c r="E51" s="41">
        <f t="shared" si="2"/>
        <v>34</v>
      </c>
      <c r="F51" s="42">
        <f>E51*Inputs!D13</f>
        <v>7718000</v>
      </c>
      <c r="G51" s="43">
        <f>MIN(1,MAX(0,Inputs!I13+Inputs!K13))</f>
        <v>0</v>
      </c>
      <c r="H51" s="42">
        <f>C51*G51*Inputs!L13</f>
        <v>0</v>
      </c>
      <c r="I51" s="42">
        <f>D51*Inputs!M13</f>
        <v>0</v>
      </c>
    </row>
    <row r="52" spans="2:9" x14ac:dyDescent="0.3">
      <c r="B52" s="36" t="str">
        <f>Inputs!B14</f>
        <v>IV</v>
      </c>
      <c r="C52" s="41">
        <f>Inputs!C14</f>
        <v>32</v>
      </c>
      <c r="D52" s="41">
        <f>MAX(0,ROUND(Inputs!F14*(1+Inputs!H14),0))</f>
        <v>0</v>
      </c>
      <c r="E52" s="41">
        <f t="shared" si="2"/>
        <v>32</v>
      </c>
      <c r="F52" s="42">
        <f>E52*Inputs!D14</f>
        <v>7424000</v>
      </c>
      <c r="G52" s="43">
        <f>MIN(1,MAX(0,Inputs!I14+Inputs!K14))</f>
        <v>0</v>
      </c>
      <c r="H52" s="42">
        <f>C52*G52*Inputs!L14</f>
        <v>0</v>
      </c>
      <c r="I52" s="42">
        <f>D52*Inputs!M14</f>
        <v>0</v>
      </c>
    </row>
    <row r="53" spans="2:9" x14ac:dyDescent="0.3">
      <c r="B53" s="36" t="str">
        <f>Inputs!B15</f>
        <v>V</v>
      </c>
      <c r="C53" s="41">
        <f>Inputs!C15</f>
        <v>31</v>
      </c>
      <c r="D53" s="41">
        <f>MAX(0,ROUND(Inputs!F15*(1+Inputs!H15),0))</f>
        <v>1</v>
      </c>
      <c r="E53" s="41">
        <f t="shared" si="2"/>
        <v>32</v>
      </c>
      <c r="F53" s="42">
        <f>E53*Inputs!D15</f>
        <v>8128000</v>
      </c>
      <c r="G53" s="43">
        <f>MIN(1,MAX(0,Inputs!I15+Inputs!K15))</f>
        <v>0</v>
      </c>
      <c r="H53" s="42">
        <f>C53*G53*Inputs!L15</f>
        <v>0</v>
      </c>
      <c r="I53" s="42">
        <f>D53*Inputs!M15</f>
        <v>100000</v>
      </c>
    </row>
    <row r="54" spans="2:9" x14ac:dyDescent="0.3">
      <c r="B54" s="36" t="str">
        <f>Inputs!B16</f>
        <v>VI</v>
      </c>
      <c r="C54" s="41">
        <f>Inputs!C16</f>
        <v>31</v>
      </c>
      <c r="D54" s="41">
        <f>MAX(0,ROUND(Inputs!F16*(1+Inputs!H16),0))</f>
        <v>1</v>
      </c>
      <c r="E54" s="41">
        <f t="shared" si="2"/>
        <v>32</v>
      </c>
      <c r="F54" s="42">
        <f>E54*Inputs!D16</f>
        <v>8640000</v>
      </c>
      <c r="G54" s="43">
        <f>MIN(1,MAX(0,Inputs!I16+Inputs!K16))</f>
        <v>0.30000000000000004</v>
      </c>
      <c r="H54" s="42">
        <f>C54*G54*Inputs!L16</f>
        <v>1860000.0000000002</v>
      </c>
      <c r="I54" s="42">
        <f>D54*Inputs!M16</f>
        <v>100000</v>
      </c>
    </row>
    <row r="55" spans="2:9" x14ac:dyDescent="0.3">
      <c r="B55" s="36" t="str">
        <f>Inputs!B17</f>
        <v>VII</v>
      </c>
      <c r="C55" s="41">
        <f>Inputs!C17</f>
        <v>27</v>
      </c>
      <c r="D55" s="41">
        <f>MAX(0,ROUND(Inputs!F17*(1+Inputs!H17),0))</f>
        <v>3</v>
      </c>
      <c r="E55" s="41">
        <f t="shared" si="2"/>
        <v>30</v>
      </c>
      <c r="F55" s="42">
        <f>E55*Inputs!D17</f>
        <v>8640000</v>
      </c>
      <c r="G55" s="43">
        <f>MIN(1,MAX(0,Inputs!I17+Inputs!K17))</f>
        <v>0.30000000000000004</v>
      </c>
      <c r="H55" s="42">
        <f>C55*G55*Inputs!L17</f>
        <v>1620000.0000000002</v>
      </c>
      <c r="I55" s="42">
        <f>D55*Inputs!M17</f>
        <v>300000</v>
      </c>
    </row>
    <row r="56" spans="2:9" x14ac:dyDescent="0.3">
      <c r="B56" s="36" t="str">
        <f>Inputs!B18</f>
        <v>VIII</v>
      </c>
      <c r="C56" s="41">
        <f>Inputs!C18</f>
        <v>25</v>
      </c>
      <c r="D56" s="41">
        <f>MAX(0,ROUND(Inputs!F18*(1+Inputs!H18),0))</f>
        <v>6</v>
      </c>
      <c r="E56" s="41">
        <f t="shared" si="2"/>
        <v>31</v>
      </c>
      <c r="F56" s="42">
        <f>E56*Inputs!D18</f>
        <v>9424000</v>
      </c>
      <c r="G56" s="43">
        <f>MIN(1,MAX(0,Inputs!I18+Inputs!K18))</f>
        <v>0.4</v>
      </c>
      <c r="H56" s="42">
        <f>C56*G56*Inputs!L18</f>
        <v>2000000</v>
      </c>
      <c r="I56" s="42">
        <f>D56*Inputs!M18</f>
        <v>600000</v>
      </c>
    </row>
    <row r="57" spans="2:9" x14ac:dyDescent="0.3">
      <c r="B57" s="36" t="str">
        <f>Inputs!B19</f>
        <v>IX</v>
      </c>
      <c r="C57" s="41">
        <f>Inputs!C19</f>
        <v>26</v>
      </c>
      <c r="D57" s="41">
        <f>MAX(0,ROUND(Inputs!F19*(1+Inputs!H19),0))</f>
        <v>4</v>
      </c>
      <c r="E57" s="41">
        <f t="shared" si="2"/>
        <v>30</v>
      </c>
      <c r="F57" s="42">
        <f>E57*Inputs!D19</f>
        <v>9570000</v>
      </c>
      <c r="G57" s="43">
        <f>MIN(1,MAX(0,Inputs!I19+Inputs!K19))</f>
        <v>0.4</v>
      </c>
      <c r="H57" s="42">
        <f>C57*G57*Inputs!L19</f>
        <v>2080000</v>
      </c>
      <c r="I57" s="42">
        <f>D57*Inputs!M19</f>
        <v>400000</v>
      </c>
    </row>
    <row r="58" spans="2:9" x14ac:dyDescent="0.3">
      <c r="B58" s="36" t="str">
        <f>Inputs!B20</f>
        <v>X</v>
      </c>
      <c r="C58" s="41">
        <f>Inputs!C20</f>
        <v>30</v>
      </c>
      <c r="D58" s="41">
        <f>MAX(0,ROUND(Inputs!F20*(1+Inputs!H20),0))</f>
        <v>0</v>
      </c>
      <c r="E58" s="41">
        <f t="shared" si="2"/>
        <v>30</v>
      </c>
      <c r="F58" s="42">
        <f>E58*Inputs!D20</f>
        <v>9960000</v>
      </c>
      <c r="G58" s="43">
        <f>MIN(1,MAX(0,Inputs!I20+Inputs!K20))</f>
        <v>0.30000000000000004</v>
      </c>
      <c r="H58" s="42">
        <f>C58*G58*Inputs!L20</f>
        <v>1800000.0000000005</v>
      </c>
      <c r="I58" s="42">
        <f>D58*Inputs!M20</f>
        <v>0</v>
      </c>
    </row>
    <row r="59" spans="2:9" x14ac:dyDescent="0.3">
      <c r="B59" s="36" t="str">
        <f>Inputs!B21</f>
        <v>AS</v>
      </c>
      <c r="C59" s="41">
        <f>Inputs!C21</f>
        <v>26</v>
      </c>
      <c r="D59" s="41">
        <f>MAX(0,ROUND(Inputs!F21*(1+Inputs!H21),0))</f>
        <v>39</v>
      </c>
      <c r="E59" s="41">
        <f t="shared" si="2"/>
        <v>65</v>
      </c>
      <c r="F59" s="42">
        <f>E59*Inputs!D21</f>
        <v>19110000</v>
      </c>
      <c r="G59" s="43">
        <f>MIN(1,MAX(0,Inputs!I21+Inputs!K21))</f>
        <v>0.2</v>
      </c>
      <c r="H59" s="42">
        <f>C59*G59*Inputs!L21</f>
        <v>1040000</v>
      </c>
      <c r="I59" s="42">
        <f>D59*Inputs!M21</f>
        <v>3900000</v>
      </c>
    </row>
    <row r="60" spans="2:9" x14ac:dyDescent="0.3">
      <c r="B60" s="36" t="str">
        <f>Inputs!B22</f>
        <v>A2</v>
      </c>
      <c r="C60" s="41">
        <f>Inputs!C22</f>
        <v>29</v>
      </c>
      <c r="D60" s="41">
        <f>MAX(0,ROUND(Inputs!F22*(1+Inputs!H22),0))</f>
        <v>1</v>
      </c>
      <c r="E60" s="41">
        <f t="shared" si="2"/>
        <v>30</v>
      </c>
      <c r="F60" s="42">
        <f>E60*Inputs!D22</f>
        <v>9180000</v>
      </c>
      <c r="G60" s="43">
        <f>MIN(1,MAX(0,Inputs!I22+Inputs!K22))</f>
        <v>0</v>
      </c>
      <c r="H60" s="42">
        <f>C60*G60*Inputs!L22</f>
        <v>0</v>
      </c>
      <c r="I60" s="42">
        <f>D60*Inputs!M22</f>
        <v>100000</v>
      </c>
    </row>
    <row r="61" spans="2:9" x14ac:dyDescent="0.3">
      <c r="B61" s="28" t="s">
        <v>54</v>
      </c>
      <c r="C61" s="38">
        <f>SUM(C46:C60)</f>
        <v>366</v>
      </c>
      <c r="D61" s="38">
        <f>SUM(D46:D60)</f>
        <v>122</v>
      </c>
      <c r="E61" s="38">
        <f>SUM(E46:E60)</f>
        <v>488</v>
      </c>
      <c r="F61" s="39">
        <f>SUM(F46:F60)</f>
        <v>127835000</v>
      </c>
      <c r="G61" s="40"/>
      <c r="H61" s="39">
        <f>SUM(H46:H60)</f>
        <v>10400000</v>
      </c>
      <c r="I61" s="39">
        <f>SUM(I46:I60)</f>
        <v>12200000</v>
      </c>
    </row>
    <row r="64" spans="2:9" x14ac:dyDescent="0.3">
      <c r="B64" s="7" t="s">
        <v>114</v>
      </c>
      <c r="C64" s="7"/>
      <c r="D64" s="7"/>
      <c r="E64" s="7"/>
    </row>
    <row r="65" spans="2:5" x14ac:dyDescent="0.3">
      <c r="B65" s="32" t="s">
        <v>88</v>
      </c>
      <c r="C65" s="32" t="s">
        <v>73</v>
      </c>
      <c r="D65" s="32" t="s">
        <v>23</v>
      </c>
      <c r="E65" s="32" t="s">
        <v>74</v>
      </c>
    </row>
    <row r="66" spans="2:5" x14ac:dyDescent="0.3">
      <c r="B66" s="26" t="s">
        <v>89</v>
      </c>
      <c r="C66" s="41">
        <f>D21</f>
        <v>84</v>
      </c>
      <c r="D66" s="41">
        <f>D41</f>
        <v>104</v>
      </c>
      <c r="E66" s="41">
        <f>D61</f>
        <v>122</v>
      </c>
    </row>
    <row r="67" spans="2:5" x14ac:dyDescent="0.3">
      <c r="B67" s="26" t="s">
        <v>90</v>
      </c>
      <c r="C67" s="41">
        <f>E21</f>
        <v>450</v>
      </c>
      <c r="D67" s="41">
        <f>E41</f>
        <v>470</v>
      </c>
      <c r="E67" s="41">
        <f>E61</f>
        <v>488</v>
      </c>
    </row>
    <row r="68" spans="2:5" x14ac:dyDescent="0.3">
      <c r="B68" s="26" t="s">
        <v>91</v>
      </c>
      <c r="C68" s="42">
        <f>F21</f>
        <v>118391000</v>
      </c>
      <c r="D68" s="42">
        <f>F41</f>
        <v>123540000</v>
      </c>
      <c r="E68" s="42">
        <f>F61</f>
        <v>127835000</v>
      </c>
    </row>
    <row r="69" spans="2:5" x14ac:dyDescent="0.3">
      <c r="B69" s="26" t="s">
        <v>115</v>
      </c>
      <c r="C69" s="37">
        <f>Inputs!$C$41</f>
        <v>0.8</v>
      </c>
      <c r="D69" s="37">
        <f>Inputs!$C$42</f>
        <v>0.85</v>
      </c>
      <c r="E69" s="37">
        <f>Inputs!$C$43</f>
        <v>0.98</v>
      </c>
    </row>
    <row r="70" spans="2:5" x14ac:dyDescent="0.3">
      <c r="B70" s="26" t="s">
        <v>92</v>
      </c>
      <c r="C70" s="42">
        <f>C68*C69</f>
        <v>94712800</v>
      </c>
      <c r="D70" s="42">
        <f>D68*D69</f>
        <v>105009000</v>
      </c>
      <c r="E70" s="42">
        <f>E68*E69</f>
        <v>125278300</v>
      </c>
    </row>
    <row r="71" spans="2:5" x14ac:dyDescent="0.3">
      <c r="B71" s="26" t="s">
        <v>93</v>
      </c>
      <c r="C71" s="42">
        <f>H21</f>
        <v>3800000</v>
      </c>
      <c r="D71" s="42">
        <f>H41</f>
        <v>7100000</v>
      </c>
      <c r="E71" s="42">
        <f>H61</f>
        <v>10400000</v>
      </c>
    </row>
    <row r="72" spans="2:5" x14ac:dyDescent="0.3">
      <c r="B72" s="26" t="s">
        <v>94</v>
      </c>
      <c r="C72" s="42">
        <f>I21</f>
        <v>8400000</v>
      </c>
      <c r="D72" s="42">
        <f>I41</f>
        <v>10400000</v>
      </c>
      <c r="E72" s="42">
        <f>I61</f>
        <v>12200000</v>
      </c>
    </row>
    <row r="73" spans="2:5" x14ac:dyDescent="0.3">
      <c r="B73" s="28" t="s">
        <v>95</v>
      </c>
      <c r="C73" s="39">
        <f>C70+C71+C72</f>
        <v>106912800</v>
      </c>
      <c r="D73" s="39">
        <f>D70+D71+D72</f>
        <v>122509000</v>
      </c>
      <c r="E73" s="39">
        <f>E70+E71+E72</f>
        <v>147878300</v>
      </c>
    </row>
    <row r="75" spans="2:5" x14ac:dyDescent="0.3">
      <c r="B75" s="26" t="s">
        <v>116</v>
      </c>
      <c r="C75" s="34">
        <f>Inputs!$C$37</f>
        <v>117160418.33333333</v>
      </c>
      <c r="D75" s="34">
        <f>Inputs!$C$37</f>
        <v>117160418.33333333</v>
      </c>
      <c r="E75" s="34">
        <f>Inputs!$C$37</f>
        <v>117160418.33333333</v>
      </c>
    </row>
    <row r="76" spans="2:5" x14ac:dyDescent="0.3">
      <c r="B76" s="26" t="s">
        <v>117</v>
      </c>
      <c r="C76" s="37">
        <f>Inputs!$D$41</f>
        <v>0.03</v>
      </c>
      <c r="D76" s="37">
        <f>Inputs!$D$42</f>
        <v>0</v>
      </c>
      <c r="E76" s="37">
        <f>Inputs!$D$43</f>
        <v>-0.02</v>
      </c>
    </row>
    <row r="77" spans="2:5" x14ac:dyDescent="0.3">
      <c r="B77" s="28" t="s">
        <v>96</v>
      </c>
      <c r="C77" s="39">
        <f>C75*(1+C76)</f>
        <v>120675230.88333333</v>
      </c>
      <c r="D77" s="39">
        <f>D75*(1+D76)</f>
        <v>117160418.33333333</v>
      </c>
      <c r="E77" s="39">
        <f>E75*(1+E76)</f>
        <v>114817209.96666665</v>
      </c>
    </row>
    <row r="78" spans="2:5" x14ac:dyDescent="0.3">
      <c r="B78" s="28" t="s">
        <v>97</v>
      </c>
      <c r="C78" s="39">
        <f>C73-C77</f>
        <v>-13762430.883333325</v>
      </c>
      <c r="D78" s="39">
        <f>D73-D77</f>
        <v>5348581.6666666716</v>
      </c>
      <c r="E78" s="39">
        <f>E73-E77</f>
        <v>33061090.033333346</v>
      </c>
    </row>
    <row r="80" spans="2:5" x14ac:dyDescent="0.3">
      <c r="B80" s="26" t="s">
        <v>118</v>
      </c>
      <c r="C80" s="42">
        <f>C68</f>
        <v>118391000</v>
      </c>
      <c r="D80" s="42">
        <f>D68</f>
        <v>123540000</v>
      </c>
      <c r="E80" s="42">
        <f>E68</f>
        <v>127835000</v>
      </c>
    </row>
    <row r="81" spans="2:5" x14ac:dyDescent="0.3">
      <c r="B81" s="26" t="s">
        <v>119</v>
      </c>
      <c r="C81" s="42">
        <f>IF(Inputs!$J$4="No",C72,0)</f>
        <v>0</v>
      </c>
      <c r="D81" s="42">
        <f>IF(Inputs!$J$4="No",D72,0)</f>
        <v>0</v>
      </c>
      <c r="E81" s="42">
        <f>IF(Inputs!$J$4="No",E72,0)</f>
        <v>0</v>
      </c>
    </row>
    <row r="82" spans="2:5" x14ac:dyDescent="0.3">
      <c r="B82" s="28" t="s">
        <v>120</v>
      </c>
      <c r="C82" s="39">
        <f>C80+C81</f>
        <v>118391000</v>
      </c>
      <c r="D82" s="39">
        <f>D80+D81</f>
        <v>123540000</v>
      </c>
      <c r="E82" s="39">
        <f>E80+E81</f>
        <v>127835000</v>
      </c>
    </row>
    <row r="83" spans="2:5" x14ac:dyDescent="0.3">
      <c r="B83" s="26" t="s">
        <v>121</v>
      </c>
      <c r="C83" s="42">
        <f>C77</f>
        <v>120675230.88333333</v>
      </c>
      <c r="D83" s="42">
        <f>D77</f>
        <v>117160418.33333333</v>
      </c>
      <c r="E83" s="42">
        <f>E77</f>
        <v>114817209.96666665</v>
      </c>
    </row>
    <row r="84" spans="2:5" x14ac:dyDescent="0.3">
      <c r="B84" s="28" t="s">
        <v>122</v>
      </c>
      <c r="C84" s="39">
        <f>C82-C83</f>
        <v>-2284230.8833333254</v>
      </c>
      <c r="D84" s="39">
        <f>D82-D83</f>
        <v>6379581.6666666716</v>
      </c>
      <c r="E84" s="39">
        <f>E82-E83</f>
        <v>13017790.033333346</v>
      </c>
    </row>
    <row r="86" spans="2:5" x14ac:dyDescent="0.3">
      <c r="B86" s="26" t="s">
        <v>123</v>
      </c>
      <c r="C86" s="34">
        <f>Inputs!$F$46</f>
        <v>0</v>
      </c>
      <c r="D86" s="34">
        <f>Inputs!$F$46</f>
        <v>0</v>
      </c>
      <c r="E86" s="34">
        <f>Inputs!$F$46</f>
        <v>0</v>
      </c>
    </row>
    <row r="87" spans="2:5" x14ac:dyDescent="0.3">
      <c r="B87" s="26" t="s">
        <v>124</v>
      </c>
      <c r="C87" s="42">
        <f>C71+IF(Inputs!$J$4="Yes",C72,0)</f>
        <v>12200000</v>
      </c>
      <c r="D87" s="42">
        <f>D71+IF(Inputs!$J$4="Yes",D72,0)</f>
        <v>17500000</v>
      </c>
      <c r="E87" s="42">
        <f>E71+IF(Inputs!$J$4="Yes",E72,0)</f>
        <v>22600000</v>
      </c>
    </row>
    <row r="88" spans="2:5" x14ac:dyDescent="0.3">
      <c r="B88" s="26" t="s">
        <v>125</v>
      </c>
      <c r="C88" s="34">
        <f>Inputs!$F$47</f>
        <v>0</v>
      </c>
      <c r="D88" s="34">
        <f>Inputs!$F$47</f>
        <v>0</v>
      </c>
      <c r="E88" s="34">
        <f>Inputs!$F$47</f>
        <v>0</v>
      </c>
    </row>
    <row r="89" spans="2:5" x14ac:dyDescent="0.3">
      <c r="B89" s="28" t="s">
        <v>101</v>
      </c>
      <c r="C89" s="39">
        <f>C86+C87-C88</f>
        <v>12200000</v>
      </c>
      <c r="D89" s="39">
        <f>D86+D87-D88</f>
        <v>17500000</v>
      </c>
      <c r="E89" s="39">
        <f>E86+E87-E88</f>
        <v>22600000</v>
      </c>
    </row>
  </sheetData>
  <mergeCells count="4">
    <mergeCell ref="B4:I4"/>
    <mergeCell ref="B24:I24"/>
    <mergeCell ref="B44:I44"/>
    <mergeCell ref="B64:E6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Inputs</vt:lpstr>
      <vt:lpstr>Dashboard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Ravi Radhakrishnan</cp:lastModifiedBy>
  <cp:revision>1</cp:revision>
  <dcterms:created xsi:type="dcterms:W3CDTF">2026-09-15T17:02:28Z</dcterms:created>
  <dcterms:modified xsi:type="dcterms:W3CDTF">2026-09-15T17:10:00Z</dcterms:modified>
  <dc:language>en-US</dc:language>
</cp:coreProperties>
</file>
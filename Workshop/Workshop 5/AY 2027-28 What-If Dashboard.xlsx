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Per\Consulting\HLC\Workshop\Workshop 5\"/>
    </mc:Choice>
  </mc:AlternateContent>
  <xr:revisionPtr revIDLastSave="0" documentId="13_ncr:1_{AE4EF735-2DE5-42A5-8DE4-F3204C59D405}" xr6:coauthVersionLast="47" xr6:coauthVersionMax="47" xr10:uidLastSave="{00000000-0000-0000-0000-000000000000}"/>
  <bookViews>
    <workbookView xWindow="-108" yWindow="-108" windowWidth="23256" windowHeight="12456" tabRatio="500" activeTab="1" xr2:uid="{00000000-000D-0000-FFFF-FFFF00000000}"/>
  </bookViews>
  <sheets>
    <sheet name="ReadMe" sheetId="1" r:id="rId1"/>
    <sheet name="Inputs" sheetId="2" r:id="rId2"/>
    <sheet name="Dashboard" sheetId="3" r:id="rId3"/>
    <sheet name="Calculations"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7" i="2" l="1"/>
  <c r="E116" i="4"/>
  <c r="D116" i="4"/>
  <c r="C116" i="4"/>
  <c r="E114" i="4"/>
  <c r="D114" i="4"/>
  <c r="C114" i="4"/>
  <c r="E99" i="4"/>
  <c r="D99" i="4"/>
  <c r="C99" i="4"/>
  <c r="E92" i="4"/>
  <c r="D92" i="4"/>
  <c r="C92" i="4"/>
  <c r="H80" i="4"/>
  <c r="G80" i="4"/>
  <c r="F80" i="4"/>
  <c r="E80" i="4"/>
  <c r="D80" i="4"/>
  <c r="C80" i="4"/>
  <c r="I80" i="4" s="1"/>
  <c r="B80" i="4"/>
  <c r="H79" i="4"/>
  <c r="G79" i="4"/>
  <c r="F79" i="4"/>
  <c r="E79" i="4"/>
  <c r="D79" i="4"/>
  <c r="C79" i="4"/>
  <c r="I79" i="4" s="1"/>
  <c r="B79" i="4"/>
  <c r="H78" i="4"/>
  <c r="G78" i="4"/>
  <c r="F78" i="4"/>
  <c r="E78" i="4"/>
  <c r="D78" i="4"/>
  <c r="C78" i="4"/>
  <c r="I78" i="4" s="1"/>
  <c r="B78" i="4"/>
  <c r="H77" i="4"/>
  <c r="G77" i="4"/>
  <c r="F77" i="4"/>
  <c r="E77" i="4"/>
  <c r="D77" i="4"/>
  <c r="C77" i="4"/>
  <c r="I77" i="4" s="1"/>
  <c r="B77" i="4"/>
  <c r="H76" i="4"/>
  <c r="G76" i="4"/>
  <c r="F76" i="4"/>
  <c r="E76" i="4"/>
  <c r="D76" i="4"/>
  <c r="C76" i="4"/>
  <c r="I76" i="4" s="1"/>
  <c r="B76" i="4"/>
  <c r="H75" i="4"/>
  <c r="G75" i="4"/>
  <c r="F75" i="4"/>
  <c r="E75" i="4"/>
  <c r="D75" i="4"/>
  <c r="C75" i="4"/>
  <c r="I75" i="4" s="1"/>
  <c r="B75" i="4"/>
  <c r="H74" i="4"/>
  <c r="G74" i="4"/>
  <c r="F74" i="4"/>
  <c r="E74" i="4"/>
  <c r="D74" i="4"/>
  <c r="C74" i="4"/>
  <c r="I74" i="4" s="1"/>
  <c r="B74" i="4"/>
  <c r="H73" i="4"/>
  <c r="G73" i="4"/>
  <c r="F73" i="4"/>
  <c r="E73" i="4"/>
  <c r="D73" i="4"/>
  <c r="C73" i="4"/>
  <c r="I73" i="4" s="1"/>
  <c r="B73" i="4"/>
  <c r="H72" i="4"/>
  <c r="G72" i="4"/>
  <c r="F72" i="4"/>
  <c r="E72" i="4"/>
  <c r="D72" i="4"/>
  <c r="C72" i="4"/>
  <c r="I72" i="4" s="1"/>
  <c r="B72" i="4"/>
  <c r="H71" i="4"/>
  <c r="G71" i="4"/>
  <c r="F71" i="4"/>
  <c r="E71" i="4"/>
  <c r="D71" i="4"/>
  <c r="C71" i="4"/>
  <c r="I71" i="4" s="1"/>
  <c r="B71" i="4"/>
  <c r="H70" i="4"/>
  <c r="G70" i="4"/>
  <c r="F70" i="4"/>
  <c r="E70" i="4"/>
  <c r="D70" i="4"/>
  <c r="C70" i="4"/>
  <c r="I70" i="4" s="1"/>
  <c r="B70" i="4"/>
  <c r="H69" i="4"/>
  <c r="G69" i="4"/>
  <c r="F69" i="4"/>
  <c r="E69" i="4"/>
  <c r="D69" i="4"/>
  <c r="C69" i="4"/>
  <c r="I69" i="4" s="1"/>
  <c r="B69" i="4"/>
  <c r="G68" i="4"/>
  <c r="F68" i="4"/>
  <c r="E68" i="4"/>
  <c r="H68" i="4" s="1"/>
  <c r="D68" i="4"/>
  <c r="C68" i="4"/>
  <c r="B68" i="4"/>
  <c r="G67" i="4"/>
  <c r="F67" i="4"/>
  <c r="E67" i="4"/>
  <c r="H67" i="4" s="1"/>
  <c r="D67" i="4"/>
  <c r="C67" i="4"/>
  <c r="B67" i="4"/>
  <c r="H66" i="4"/>
  <c r="G66" i="4"/>
  <c r="G81" i="4" s="1"/>
  <c r="F66" i="4"/>
  <c r="E66" i="4"/>
  <c r="D66" i="4"/>
  <c r="C66" i="4"/>
  <c r="C81" i="4" s="1"/>
  <c r="B66" i="4"/>
  <c r="J60" i="4"/>
  <c r="G60" i="4"/>
  <c r="D60" i="4"/>
  <c r="I60" i="4" s="1"/>
  <c r="C60" i="4"/>
  <c r="B60" i="4"/>
  <c r="J59" i="4"/>
  <c r="G59" i="4"/>
  <c r="D59" i="4"/>
  <c r="I59" i="4" s="1"/>
  <c r="C59" i="4"/>
  <c r="B59" i="4"/>
  <c r="J58" i="4"/>
  <c r="I58" i="4"/>
  <c r="G58" i="4"/>
  <c r="D58" i="4"/>
  <c r="C58" i="4"/>
  <c r="B58" i="4"/>
  <c r="J57" i="4"/>
  <c r="G57" i="4"/>
  <c r="D57" i="4"/>
  <c r="I57" i="4" s="1"/>
  <c r="C57" i="4"/>
  <c r="B57" i="4"/>
  <c r="J56" i="4"/>
  <c r="G56" i="4"/>
  <c r="D56" i="4"/>
  <c r="I56" i="4" s="1"/>
  <c r="C56" i="4"/>
  <c r="B56" i="4"/>
  <c r="K55" i="4"/>
  <c r="J55" i="4"/>
  <c r="L55" i="4" s="1"/>
  <c r="I55" i="4"/>
  <c r="G55" i="4"/>
  <c r="D55" i="4"/>
  <c r="C55" i="4"/>
  <c r="F55" i="4" s="1"/>
  <c r="B55" i="4"/>
  <c r="J54" i="4"/>
  <c r="G54" i="4"/>
  <c r="D54" i="4"/>
  <c r="I54" i="4" s="1"/>
  <c r="C54" i="4"/>
  <c r="B54" i="4"/>
  <c r="J53" i="4"/>
  <c r="I53" i="4"/>
  <c r="G53" i="4"/>
  <c r="D53" i="4"/>
  <c r="C53" i="4"/>
  <c r="B53" i="4"/>
  <c r="J52" i="4"/>
  <c r="G52" i="4"/>
  <c r="D52" i="4"/>
  <c r="I52" i="4" s="1"/>
  <c r="C52" i="4"/>
  <c r="B52" i="4"/>
  <c r="J51" i="4"/>
  <c r="G51" i="4"/>
  <c r="D51" i="4"/>
  <c r="I51" i="4" s="1"/>
  <c r="C51" i="4"/>
  <c r="B51" i="4"/>
  <c r="J50" i="4"/>
  <c r="I50" i="4"/>
  <c r="G50" i="4"/>
  <c r="D50" i="4"/>
  <c r="C50" i="4"/>
  <c r="B50" i="4"/>
  <c r="J49" i="4"/>
  <c r="G49" i="4"/>
  <c r="D49" i="4"/>
  <c r="I49" i="4" s="1"/>
  <c r="C49" i="4"/>
  <c r="B49" i="4"/>
  <c r="J48" i="4"/>
  <c r="G48" i="4"/>
  <c r="D48" i="4"/>
  <c r="I48" i="4" s="1"/>
  <c r="C48" i="4"/>
  <c r="B48" i="4"/>
  <c r="K47" i="4"/>
  <c r="J47" i="4"/>
  <c r="L47" i="4" s="1"/>
  <c r="I47" i="4"/>
  <c r="G47" i="4"/>
  <c r="D47" i="4"/>
  <c r="C47" i="4"/>
  <c r="F47" i="4" s="1"/>
  <c r="B47" i="4"/>
  <c r="J46" i="4"/>
  <c r="J61" i="4" s="1"/>
  <c r="E87" i="4" s="1"/>
  <c r="G46" i="4"/>
  <c r="D46" i="4"/>
  <c r="I46" i="4" s="1"/>
  <c r="C46" i="4"/>
  <c r="B46" i="4"/>
  <c r="J40" i="4"/>
  <c r="I40" i="4"/>
  <c r="G40" i="4"/>
  <c r="D40" i="4"/>
  <c r="C40" i="4"/>
  <c r="B40" i="4"/>
  <c r="J39" i="4"/>
  <c r="G39" i="4"/>
  <c r="D39" i="4"/>
  <c r="I39" i="4" s="1"/>
  <c r="I51" i="3" s="1"/>
  <c r="C39" i="4"/>
  <c r="B39" i="4"/>
  <c r="J38" i="4"/>
  <c r="G38" i="4"/>
  <c r="D38" i="4"/>
  <c r="I38" i="4" s="1"/>
  <c r="I50" i="3" s="1"/>
  <c r="C38" i="4"/>
  <c r="B38" i="4"/>
  <c r="K37" i="4"/>
  <c r="J37" i="4"/>
  <c r="L37" i="4" s="1"/>
  <c r="J49" i="3" s="1"/>
  <c r="I37" i="4"/>
  <c r="G37" i="4"/>
  <c r="D37" i="4"/>
  <c r="C37" i="4"/>
  <c r="F37" i="4" s="1"/>
  <c r="F49" i="3" s="1"/>
  <c r="B37" i="4"/>
  <c r="J36" i="4"/>
  <c r="G36" i="4"/>
  <c r="D36" i="4"/>
  <c r="I36" i="4" s="1"/>
  <c r="I48" i="3" s="1"/>
  <c r="C36" i="4"/>
  <c r="B36" i="4"/>
  <c r="J35" i="4"/>
  <c r="I35" i="4"/>
  <c r="I47" i="3" s="1"/>
  <c r="G35" i="4"/>
  <c r="D35" i="4"/>
  <c r="C35" i="4"/>
  <c r="B35" i="4"/>
  <c r="J34" i="4"/>
  <c r="G34" i="4"/>
  <c r="D34" i="4"/>
  <c r="D46" i="3" s="1"/>
  <c r="C34" i="4"/>
  <c r="B34" i="4"/>
  <c r="J33" i="4"/>
  <c r="G33" i="4"/>
  <c r="G45" i="3" s="1"/>
  <c r="D33" i="4"/>
  <c r="I33" i="4" s="1"/>
  <c r="C33" i="4"/>
  <c r="B33" i="4"/>
  <c r="J32" i="4"/>
  <c r="I32" i="4"/>
  <c r="G32" i="4"/>
  <c r="D32" i="4"/>
  <c r="C32" i="4"/>
  <c r="B32" i="4"/>
  <c r="J31" i="4"/>
  <c r="G31" i="4"/>
  <c r="D31" i="4"/>
  <c r="I31" i="4" s="1"/>
  <c r="I43" i="3" s="1"/>
  <c r="C31" i="4"/>
  <c r="B31" i="4"/>
  <c r="J30" i="4"/>
  <c r="G30" i="4"/>
  <c r="D30" i="4"/>
  <c r="I30" i="4" s="1"/>
  <c r="I42" i="3" s="1"/>
  <c r="C30" i="4"/>
  <c r="B30" i="4"/>
  <c r="K29" i="4"/>
  <c r="J29" i="4"/>
  <c r="L29" i="4" s="1"/>
  <c r="J41" i="3" s="1"/>
  <c r="I29" i="4"/>
  <c r="G29" i="4"/>
  <c r="D29" i="4"/>
  <c r="C29" i="4"/>
  <c r="F29" i="4" s="1"/>
  <c r="F41" i="3" s="1"/>
  <c r="B29" i="4"/>
  <c r="J28" i="4"/>
  <c r="G28" i="4"/>
  <c r="D28" i="4"/>
  <c r="I28" i="4" s="1"/>
  <c r="I40" i="3" s="1"/>
  <c r="C28" i="4"/>
  <c r="B28" i="4"/>
  <c r="J27" i="4"/>
  <c r="I27" i="4"/>
  <c r="I39" i="3" s="1"/>
  <c r="G27" i="4"/>
  <c r="D27" i="4"/>
  <c r="C27" i="4"/>
  <c r="B27" i="4"/>
  <c r="J26" i="4"/>
  <c r="J41" i="4" s="1"/>
  <c r="D87" i="4" s="1"/>
  <c r="D14" i="3" s="1"/>
  <c r="G26" i="4"/>
  <c r="D26" i="4"/>
  <c r="D41" i="4" s="1"/>
  <c r="D86" i="4" s="1"/>
  <c r="D13" i="3" s="1"/>
  <c r="C26" i="4"/>
  <c r="B26" i="4"/>
  <c r="J20" i="4"/>
  <c r="G20" i="4"/>
  <c r="D20" i="4"/>
  <c r="I20" i="4" s="1"/>
  <c r="C20" i="4"/>
  <c r="B20" i="4"/>
  <c r="K19" i="4"/>
  <c r="J19" i="4"/>
  <c r="L19" i="4" s="1"/>
  <c r="I19" i="4"/>
  <c r="G19" i="4"/>
  <c r="D19" i="4"/>
  <c r="C19" i="4"/>
  <c r="F19" i="4" s="1"/>
  <c r="B19" i="4"/>
  <c r="J18" i="4"/>
  <c r="G18" i="4"/>
  <c r="D18" i="4"/>
  <c r="I18" i="4" s="1"/>
  <c r="C18" i="4"/>
  <c r="B18" i="4"/>
  <c r="J17" i="4"/>
  <c r="I17" i="4"/>
  <c r="G17" i="4"/>
  <c r="D17" i="4"/>
  <c r="C17" i="4"/>
  <c r="B17" i="4"/>
  <c r="L16" i="4"/>
  <c r="K16" i="4"/>
  <c r="J16" i="4"/>
  <c r="G16" i="4"/>
  <c r="D16" i="4"/>
  <c r="I16" i="4" s="1"/>
  <c r="C16" i="4"/>
  <c r="H16" i="4" s="1"/>
  <c r="B16" i="4"/>
  <c r="J15" i="4"/>
  <c r="G15" i="4"/>
  <c r="D15" i="4"/>
  <c r="I15" i="4" s="1"/>
  <c r="C15" i="4"/>
  <c r="B15" i="4"/>
  <c r="J14" i="4"/>
  <c r="I14" i="4"/>
  <c r="G14" i="4"/>
  <c r="D14" i="4"/>
  <c r="C14" i="4"/>
  <c r="B14" i="4"/>
  <c r="J13" i="4"/>
  <c r="G13" i="4"/>
  <c r="D13" i="4"/>
  <c r="I13" i="4" s="1"/>
  <c r="C13" i="4"/>
  <c r="B13" i="4"/>
  <c r="J12" i="4"/>
  <c r="G12" i="4"/>
  <c r="D12" i="4"/>
  <c r="I12" i="4" s="1"/>
  <c r="C12" i="4"/>
  <c r="B12" i="4"/>
  <c r="K11" i="4"/>
  <c r="J11" i="4"/>
  <c r="L11" i="4" s="1"/>
  <c r="I11" i="4"/>
  <c r="G11" i="4"/>
  <c r="D11" i="4"/>
  <c r="C11" i="4"/>
  <c r="F11" i="4" s="1"/>
  <c r="B11" i="4"/>
  <c r="J10" i="4"/>
  <c r="G10" i="4"/>
  <c r="D10" i="4"/>
  <c r="I10" i="4" s="1"/>
  <c r="C10" i="4"/>
  <c r="B10" i="4"/>
  <c r="J9" i="4"/>
  <c r="I9" i="4"/>
  <c r="G9" i="4"/>
  <c r="D9" i="4"/>
  <c r="C9" i="4"/>
  <c r="B9" i="4"/>
  <c r="L8" i="4"/>
  <c r="K8" i="4"/>
  <c r="J8" i="4"/>
  <c r="G8" i="4"/>
  <c r="D8" i="4"/>
  <c r="I8" i="4" s="1"/>
  <c r="C8" i="4"/>
  <c r="H8" i="4" s="1"/>
  <c r="B8" i="4"/>
  <c r="J7" i="4"/>
  <c r="G7" i="4"/>
  <c r="D7" i="4"/>
  <c r="I7" i="4" s="1"/>
  <c r="C7" i="4"/>
  <c r="B7" i="4"/>
  <c r="J6" i="4"/>
  <c r="I6" i="4"/>
  <c r="G6" i="4"/>
  <c r="D6" i="4"/>
  <c r="D21" i="4" s="1"/>
  <c r="C86" i="4" s="1"/>
  <c r="C13" i="3" s="1"/>
  <c r="C6" i="4"/>
  <c r="B6" i="4"/>
  <c r="Q23" i="2"/>
  <c r="N23" i="2"/>
  <c r="K59" i="4" s="1"/>
  <c r="H23" i="2"/>
  <c r="G23" i="2"/>
  <c r="F23" i="2"/>
  <c r="C23" i="2"/>
  <c r="I52" i="3"/>
  <c r="G52" i="3"/>
  <c r="D52" i="3"/>
  <c r="C52" i="3"/>
  <c r="B52" i="3"/>
  <c r="G51" i="3"/>
  <c r="D51" i="3"/>
  <c r="C51" i="3"/>
  <c r="B51" i="3"/>
  <c r="G50" i="3"/>
  <c r="D50" i="3"/>
  <c r="C50" i="3"/>
  <c r="B50" i="3"/>
  <c r="I49" i="3"/>
  <c r="G49" i="3"/>
  <c r="D49" i="3"/>
  <c r="B49" i="3"/>
  <c r="G48" i="3"/>
  <c r="D48" i="3"/>
  <c r="C48" i="3"/>
  <c r="B48" i="3"/>
  <c r="G47" i="3"/>
  <c r="D47" i="3"/>
  <c r="C47" i="3"/>
  <c r="B47" i="3"/>
  <c r="G46" i="3"/>
  <c r="C46" i="3"/>
  <c r="B46" i="3"/>
  <c r="I45" i="3"/>
  <c r="D45" i="3"/>
  <c r="C45" i="3"/>
  <c r="B45" i="3"/>
  <c r="I44" i="3"/>
  <c r="G44" i="3"/>
  <c r="D44" i="3"/>
  <c r="C44" i="3"/>
  <c r="B44" i="3"/>
  <c r="G43" i="3"/>
  <c r="D43" i="3"/>
  <c r="C43" i="3"/>
  <c r="B43" i="3"/>
  <c r="G42" i="3"/>
  <c r="D42" i="3"/>
  <c r="C42" i="3"/>
  <c r="B42" i="3"/>
  <c r="I41" i="3"/>
  <c r="G41" i="3"/>
  <c r="D41" i="3"/>
  <c r="B41" i="3"/>
  <c r="G40" i="3"/>
  <c r="D40" i="3"/>
  <c r="C40" i="3"/>
  <c r="B40" i="3"/>
  <c r="G39" i="3"/>
  <c r="D39" i="3"/>
  <c r="C39" i="3"/>
  <c r="B39" i="3"/>
  <c r="G38" i="3"/>
  <c r="C38" i="3"/>
  <c r="B38" i="3"/>
  <c r="E14" i="3"/>
  <c r="C4" i="3"/>
  <c r="I68" i="4" l="1"/>
  <c r="H81" i="4"/>
  <c r="I67" i="4"/>
  <c r="I61" i="4"/>
  <c r="E95" i="4" s="1"/>
  <c r="C29" i="2"/>
  <c r="C37" i="2" s="1"/>
  <c r="L57" i="4"/>
  <c r="I21" i="4"/>
  <c r="C95" i="4" s="1"/>
  <c r="E104" i="4"/>
  <c r="E21" i="3"/>
  <c r="F32" i="4"/>
  <c r="F44" i="3" s="1"/>
  <c r="F59" i="4"/>
  <c r="L59" i="4"/>
  <c r="E59" i="4" s="1"/>
  <c r="H31" i="4"/>
  <c r="H43" i="3" s="1"/>
  <c r="H39" i="4"/>
  <c r="H51" i="3" s="1"/>
  <c r="H60" i="4"/>
  <c r="C112" i="4"/>
  <c r="C31" i="3" s="1"/>
  <c r="F40" i="4"/>
  <c r="F52" i="3" s="1"/>
  <c r="E109" i="4"/>
  <c r="D109" i="4"/>
  <c r="C109" i="4"/>
  <c r="K10" i="4"/>
  <c r="F10" i="4" s="1"/>
  <c r="H11" i="4"/>
  <c r="K18" i="4"/>
  <c r="F18" i="4" s="1"/>
  <c r="H19" i="4"/>
  <c r="C21" i="4"/>
  <c r="I26" i="4"/>
  <c r="K28" i="4"/>
  <c r="H29" i="4"/>
  <c r="H41" i="3" s="1"/>
  <c r="I34" i="4"/>
  <c r="I46" i="3" s="1"/>
  <c r="K36" i="4"/>
  <c r="H37" i="4"/>
  <c r="H49" i="3" s="1"/>
  <c r="K46" i="4"/>
  <c r="H47" i="4"/>
  <c r="K54" i="4"/>
  <c r="H55" i="4"/>
  <c r="C41" i="3"/>
  <c r="C49" i="3"/>
  <c r="K13" i="4"/>
  <c r="L13" i="4" s="1"/>
  <c r="E13" i="4" s="1"/>
  <c r="F20" i="4"/>
  <c r="K31" i="4"/>
  <c r="L31" i="4" s="1"/>
  <c r="K39" i="4"/>
  <c r="L39" i="4" s="1"/>
  <c r="K49" i="4"/>
  <c r="L49" i="4" s="1"/>
  <c r="E49" i="4" s="1"/>
  <c r="K57" i="4"/>
  <c r="F57" i="4" s="1"/>
  <c r="K26" i="4"/>
  <c r="F26" i="4" s="1"/>
  <c r="K34" i="4"/>
  <c r="L34" i="4" s="1"/>
  <c r="J46" i="3" s="1"/>
  <c r="K52" i="4"/>
  <c r="L52" i="4" s="1"/>
  <c r="E52" i="4" s="1"/>
  <c r="K60" i="4"/>
  <c r="L60" i="4" s="1"/>
  <c r="K6" i="4"/>
  <c r="E8" i="4"/>
  <c r="K14" i="4"/>
  <c r="L14" i="4" s="1"/>
  <c r="E16" i="4"/>
  <c r="K32" i="4"/>
  <c r="F39" i="4"/>
  <c r="F51" i="3" s="1"/>
  <c r="K40" i="4"/>
  <c r="F49" i="4"/>
  <c r="K50" i="4"/>
  <c r="F50" i="4" s="1"/>
  <c r="K58" i="4"/>
  <c r="F58" i="4" s="1"/>
  <c r="E60" i="4"/>
  <c r="C61" i="4"/>
  <c r="I66" i="4"/>
  <c r="L6" i="4"/>
  <c r="F8" i="4"/>
  <c r="K9" i="4"/>
  <c r="F9" i="4" s="1"/>
  <c r="E11" i="4"/>
  <c r="F16" i="4"/>
  <c r="K17" i="4"/>
  <c r="F17" i="4" s="1"/>
  <c r="E19" i="4"/>
  <c r="K27" i="4"/>
  <c r="E29" i="4"/>
  <c r="E41" i="3" s="1"/>
  <c r="L32" i="4"/>
  <c r="K35" i="4"/>
  <c r="E37" i="4"/>
  <c r="E49" i="3" s="1"/>
  <c r="L40" i="4"/>
  <c r="E47" i="4"/>
  <c r="K53" i="4"/>
  <c r="E55" i="4"/>
  <c r="L58" i="4"/>
  <c r="F60" i="4"/>
  <c r="D61" i="4"/>
  <c r="E86" i="4" s="1"/>
  <c r="E13" i="3" s="1"/>
  <c r="K12" i="4"/>
  <c r="K20" i="4"/>
  <c r="L20" i="4" s="1"/>
  <c r="J21" i="4"/>
  <c r="C87" i="4" s="1"/>
  <c r="C14" i="3" s="1"/>
  <c r="K30" i="4"/>
  <c r="L30" i="4" s="1"/>
  <c r="K38" i="4"/>
  <c r="C41" i="4"/>
  <c r="K48" i="4"/>
  <c r="F48" i="4" s="1"/>
  <c r="K56" i="4"/>
  <c r="L56" i="4" s="1"/>
  <c r="D38" i="3"/>
  <c r="D53" i="3" s="1"/>
  <c r="K7" i="4"/>
  <c r="K15" i="4"/>
  <c r="K33" i="4"/>
  <c r="K51" i="4"/>
  <c r="I81" i="4" l="1"/>
  <c r="E98" i="4"/>
  <c r="E100" i="4" s="1"/>
  <c r="C98" i="4"/>
  <c r="C100" i="4" s="1"/>
  <c r="E7" i="3" s="1"/>
  <c r="D98" i="4"/>
  <c r="D100" i="4" s="1"/>
  <c r="D106" i="4" s="1"/>
  <c r="D26" i="3" s="1"/>
  <c r="C53" i="3"/>
  <c r="F38" i="3"/>
  <c r="E14" i="4"/>
  <c r="H14" i="4"/>
  <c r="H56" i="4"/>
  <c r="E56" i="4"/>
  <c r="J42" i="3"/>
  <c r="E30" i="4"/>
  <c r="E42" i="3" s="1"/>
  <c r="H30" i="4"/>
  <c r="H42" i="3" s="1"/>
  <c r="E32" i="4"/>
  <c r="E44" i="3" s="1"/>
  <c r="H32" i="4"/>
  <c r="H44" i="3" s="1"/>
  <c r="J44" i="3"/>
  <c r="H52" i="4"/>
  <c r="D112" i="4"/>
  <c r="H34" i="4"/>
  <c r="H46" i="3" s="1"/>
  <c r="L17" i="4"/>
  <c r="F56" i="4"/>
  <c r="L12" i="4"/>
  <c r="F12" i="4"/>
  <c r="E6" i="4"/>
  <c r="H6" i="4"/>
  <c r="F13" i="4"/>
  <c r="L10" i="4"/>
  <c r="H49" i="4"/>
  <c r="E111" i="4"/>
  <c r="E30" i="3" s="1"/>
  <c r="K61" i="4"/>
  <c r="E88" i="4" s="1"/>
  <c r="E15" i="3" s="1"/>
  <c r="F46" i="4"/>
  <c r="L46" i="4"/>
  <c r="L27" i="4"/>
  <c r="F27" i="4"/>
  <c r="F39" i="3" s="1"/>
  <c r="E112" i="4"/>
  <c r="E31" i="3" s="1"/>
  <c r="C28" i="3"/>
  <c r="F14" i="4"/>
  <c r="L53" i="4"/>
  <c r="F53" i="4"/>
  <c r="H57" i="4"/>
  <c r="E57" i="4"/>
  <c r="E40" i="4"/>
  <c r="E52" i="3" s="1"/>
  <c r="J52" i="3"/>
  <c r="H40" i="4"/>
  <c r="H52" i="3" s="1"/>
  <c r="E34" i="4"/>
  <c r="E46" i="3" s="1"/>
  <c r="K21" i="4"/>
  <c r="C88" i="4" s="1"/>
  <c r="C15" i="3" s="1"/>
  <c r="C111" i="4"/>
  <c r="C30" i="3" s="1"/>
  <c r="J51" i="3"/>
  <c r="E39" i="4"/>
  <c r="E51" i="3" s="1"/>
  <c r="F28" i="4"/>
  <c r="F40" i="3" s="1"/>
  <c r="L28" i="4"/>
  <c r="D28" i="3"/>
  <c r="L48" i="4"/>
  <c r="F52" i="4"/>
  <c r="F7" i="4"/>
  <c r="L7" i="4"/>
  <c r="L50" i="4"/>
  <c r="F36" i="4"/>
  <c r="F48" i="3" s="1"/>
  <c r="L36" i="4"/>
  <c r="F51" i="4"/>
  <c r="L51" i="4"/>
  <c r="L35" i="4"/>
  <c r="F35" i="4"/>
  <c r="F47" i="3" s="1"/>
  <c r="F54" i="4"/>
  <c r="L54" i="4"/>
  <c r="I41" i="4"/>
  <c r="D95" i="4" s="1"/>
  <c r="I38" i="3"/>
  <c r="I53" i="3" s="1"/>
  <c r="E28" i="3"/>
  <c r="C21" i="3"/>
  <c r="C104" i="4"/>
  <c r="L18" i="4"/>
  <c r="F15" i="4"/>
  <c r="L15" i="4"/>
  <c r="H20" i="4"/>
  <c r="E20" i="4"/>
  <c r="L26" i="4"/>
  <c r="K41" i="4"/>
  <c r="D88" i="4" s="1"/>
  <c r="D15" i="3" s="1"/>
  <c r="D111" i="4"/>
  <c r="D30" i="3" s="1"/>
  <c r="E58" i="4"/>
  <c r="H58" i="4"/>
  <c r="E31" i="4"/>
  <c r="E43" i="3" s="1"/>
  <c r="J43" i="3"/>
  <c r="F33" i="4"/>
  <c r="F45" i="3" s="1"/>
  <c r="L33" i="4"/>
  <c r="L38" i="4"/>
  <c r="F38" i="4"/>
  <c r="F50" i="3" s="1"/>
  <c r="F34" i="4"/>
  <c r="F46" i="3" s="1"/>
  <c r="F31" i="4"/>
  <c r="F43" i="3" s="1"/>
  <c r="F30" i="4"/>
  <c r="F42" i="3" s="1"/>
  <c r="L9" i="4"/>
  <c r="F6" i="4"/>
  <c r="H59" i="4"/>
  <c r="H13" i="4"/>
  <c r="C106" i="4" l="1"/>
  <c r="C26" i="3" s="1"/>
  <c r="D23" i="3"/>
  <c r="C23" i="3"/>
  <c r="E106" i="4"/>
  <c r="E26" i="3" s="1"/>
  <c r="E23" i="3"/>
  <c r="E17" i="4"/>
  <c r="H17" i="4"/>
  <c r="E7" i="4"/>
  <c r="H7" i="4"/>
  <c r="L41" i="4"/>
  <c r="D89" i="4" s="1"/>
  <c r="J38" i="3"/>
  <c r="H26" i="4"/>
  <c r="E26" i="4"/>
  <c r="E27" i="4"/>
  <c r="E39" i="3" s="1"/>
  <c r="J39" i="3"/>
  <c r="H27" i="4"/>
  <c r="H39" i="3" s="1"/>
  <c r="F21" i="4"/>
  <c r="C91" i="4" s="1"/>
  <c r="L61" i="4"/>
  <c r="E89" i="4" s="1"/>
  <c r="E46" i="4"/>
  <c r="H46" i="4"/>
  <c r="E50" i="4"/>
  <c r="H50" i="4"/>
  <c r="E35" i="4"/>
  <c r="E47" i="3" s="1"/>
  <c r="J47" i="3"/>
  <c r="H35" i="4"/>
  <c r="H47" i="3" s="1"/>
  <c r="E9" i="4"/>
  <c r="E21" i="4" s="1"/>
  <c r="C90" i="4" s="1"/>
  <c r="C17" i="3" s="1"/>
  <c r="H9" i="4"/>
  <c r="E51" i="4"/>
  <c r="H51" i="4"/>
  <c r="H48" i="4"/>
  <c r="E48" i="4"/>
  <c r="E53" i="4"/>
  <c r="H53" i="4"/>
  <c r="F61" i="4"/>
  <c r="E91" i="4" s="1"/>
  <c r="E10" i="4"/>
  <c r="H10" i="4"/>
  <c r="L21" i="4"/>
  <c r="C89" i="4" s="1"/>
  <c r="E15" i="4"/>
  <c r="H15" i="4"/>
  <c r="D21" i="3"/>
  <c r="D104" i="4"/>
  <c r="D31" i="3"/>
  <c r="N7" i="3"/>
  <c r="J48" i="3"/>
  <c r="E36" i="4"/>
  <c r="E48" i="3" s="1"/>
  <c r="H36" i="4"/>
  <c r="H48" i="3" s="1"/>
  <c r="H12" i="4"/>
  <c r="E12" i="4"/>
  <c r="F53" i="3"/>
  <c r="H38" i="4"/>
  <c r="H50" i="3" s="1"/>
  <c r="J50" i="3"/>
  <c r="E38" i="4"/>
  <c r="E50" i="3" s="1"/>
  <c r="J45" i="3"/>
  <c r="E33" i="4"/>
  <c r="E45" i="3" s="1"/>
  <c r="H33" i="4"/>
  <c r="H45" i="3" s="1"/>
  <c r="E54" i="4"/>
  <c r="H54" i="4"/>
  <c r="E18" i="4"/>
  <c r="H18" i="4"/>
  <c r="J40" i="3"/>
  <c r="E28" i="4"/>
  <c r="E40" i="3" s="1"/>
  <c r="H28" i="4"/>
  <c r="H40" i="3" s="1"/>
  <c r="F41" i="4"/>
  <c r="D91" i="4" s="1"/>
  <c r="H21" i="4" l="1"/>
  <c r="C94" i="4" s="1"/>
  <c r="C115" i="4" s="1"/>
  <c r="C117" i="4" s="1"/>
  <c r="C32" i="3" s="1"/>
  <c r="H61" i="4"/>
  <c r="E94" i="4" s="1"/>
  <c r="H41" i="4"/>
  <c r="D94" i="4" s="1"/>
  <c r="H38" i="3"/>
  <c r="H53" i="3" s="1"/>
  <c r="E41" i="4"/>
  <c r="D90" i="4" s="1"/>
  <c r="D17" i="3" s="1"/>
  <c r="E38" i="3"/>
  <c r="E53" i="3" s="1"/>
  <c r="E16" i="3"/>
  <c r="E110" i="4"/>
  <c r="E29" i="3" s="1"/>
  <c r="D16" i="3"/>
  <c r="D110" i="4"/>
  <c r="D29" i="3" s="1"/>
  <c r="E61" i="4"/>
  <c r="E90" i="4" s="1"/>
  <c r="E17" i="3" s="1"/>
  <c r="D103" i="4"/>
  <c r="D105" i="4" s="1"/>
  <c r="D93" i="4"/>
  <c r="D18" i="3"/>
  <c r="C103" i="4"/>
  <c r="C105" i="4" s="1"/>
  <c r="C93" i="4"/>
  <c r="C18" i="3"/>
  <c r="J53" i="3"/>
  <c r="C16" i="3"/>
  <c r="C110" i="4"/>
  <c r="C29" i="3" s="1"/>
  <c r="E18" i="3"/>
  <c r="E103" i="4"/>
  <c r="E105" i="4" s="1"/>
  <c r="E93" i="4"/>
  <c r="C20" i="3" l="1"/>
  <c r="C107" i="4"/>
  <c r="C27" i="3" s="1"/>
  <c r="C25" i="3"/>
  <c r="D115" i="4"/>
  <c r="D117" i="4" s="1"/>
  <c r="D20" i="3"/>
  <c r="E115" i="4"/>
  <c r="E117" i="4" s="1"/>
  <c r="E32" i="3" s="1"/>
  <c r="E20" i="3"/>
  <c r="E19" i="3"/>
  <c r="E96" i="4"/>
  <c r="D19" i="3"/>
  <c r="D96" i="4"/>
  <c r="E107" i="4"/>
  <c r="E27" i="3" s="1"/>
  <c r="E25" i="3"/>
  <c r="D107" i="4"/>
  <c r="D25" i="3"/>
  <c r="C96" i="4"/>
  <c r="C19" i="3"/>
  <c r="C101" i="4" l="1"/>
  <c r="C22" i="3"/>
  <c r="E101" i="4"/>
  <c r="E22" i="3"/>
  <c r="D27" i="3"/>
  <c r="K7" i="3"/>
  <c r="Q7" i="3"/>
  <c r="D32" i="3"/>
  <c r="D101" i="4"/>
  <c r="D22" i="3"/>
  <c r="B7" i="3"/>
  <c r="E118" i="4" l="1"/>
  <c r="E33" i="3" s="1"/>
  <c r="E24" i="3"/>
  <c r="D118" i="4"/>
  <c r="D33" i="3" s="1"/>
  <c r="H7" i="3"/>
  <c r="D24" i="3"/>
  <c r="C24" i="3"/>
  <c r="C118" i="4"/>
  <c r="C33" i="3" s="1"/>
</calcChain>
</file>

<file path=xl/sharedStrings.xml><?xml version="1.0" encoding="utf-8"?>
<sst xmlns="http://schemas.openxmlformats.org/spreadsheetml/2006/main" count="232" uniqueCount="164">
  <si>
    <t>AY 2027-28 Enrollment &amp; Fund What-If Dashboard</t>
  </si>
  <si>
    <t>Built from your uploaded AY 27-28 financials. All figures in ₹ (INR).</t>
  </si>
  <si>
    <t>How to use</t>
  </si>
  <si>
    <t>1. Go to the Inputs tab. Pick a scenario (Pessimistic / Realistic / Optimistic) in the yellow cell at the top — every other sheet updates instantly.</t>
  </si>
  <si>
    <t>2. Every blue number on Inputs is editable — grade-wise new-joiner counts and their per-grade optimistic/pessimistic swing %, contribution % and its swing, fees, expenses, collection efficiency, cost variance, and fund balances.</t>
  </si>
  <si>
    <t>3. The Dashboard tab shows the headline P&amp;L, cash flow and fund position for whichever scenario is selected, plus a side-by-side comparison of all three scenarios and a chart.</t>
  </si>
  <si>
    <t>4. The Calculations tab is the engine — grade-by-grade math for all three scenarios. You normally won't need to edit it; everything you'd want to change lives on Inputs.</t>
  </si>
  <si>
    <t>Key modelling choices</t>
  </si>
  <si>
    <t>- New Joiners are modelled the same way as Contribution % and Dropouts: Realistic is a direct, given number per grade (your own figures), and Pessimistic / Optimistic are each Realistic +/- a per-grade Delta (a headcount, not a %) scaled by that scenario's Swing Multiplier. Every scenario is capped so it can never exceed a grade's ceiling (Max Capacity - Existing Students) or go below zero. Max Capacity itself is TOTAL seats per grade (Existing + New), not a new-joiner ceiling on its own — Grade I's is corrected to 33 total seats (10 new-joiner seats, since 23 are already existing), every other grade unchanged from your source file. Optimistic's default Delta simply closes the gap to each grade's ceiling, so Optimistic still lands at full capacity out of the box, but it's now an editable, capped number rather than an automatic rule. Every Delta is editable per grade.</t>
  </si>
  <si>
    <t>- Returnable Contribution % (existing students, to the corpus/building fund) also gets its own pessimistic/optimistic range per grade, as a +/- percentage-point swing on the realistic %.</t>
  </si>
  <si>
    <t>- Only the Contribution from existing students is a REFUNDABLE LIABILITY — it hits Cash Inflow and the Fund roll-forward, but is excluded from P&amp;L revenue, with no interest accrued, matching your confirmation that contributions are returnable without interest. The Advance from new joiners is NOT returnable — it's ordinary school income, counted directly in P&amp;L revenue. The 'returnable?' toggle on Inputs still exists (defaulted to No) purely so you can explore the alternative treatment later if policy changes; as confirmed, leave it at No.</t>
  </si>
  <si>
    <t>- Tuition revenue is recognised on an accrual basis in the P&amp;L (Total Students x Base Fee); a Fee Collection Efficiency % (by scenario) is applied only in the cash flow, to reflect real-world collection risk.</t>
  </si>
  <si>
    <t>- Operating expenses are taken from your source file and flexed by a single Cost Variance % per scenario (cost overrun risk in Pessimistic, savings in Optimistic).</t>
  </si>
  <si>
    <t>- To control New Joiners / Contribution % / Dropouts at an overall level (rather than editing all 15 grade rows), use the Swing Multiplier columns in the Scenario overlays table on Inputs (near the bottom, one row per scenario). New Joiners' multiplier is active for ALL THREE scenarios (unlike Contribution/Dropout, where Realistic is a fixed baseline and only Pessimistic/Optimistic scale): it multiplies your given Realistic number for the Realistic scenario, and multiplies each scenario's own Delta for Pessimistic/Optimistic. Each keeps every grade's relative difficulty intact. Fee Collection Efficiency % and Cost Variance %, in the same table, are a DIFFERENT lever — they only affect how much billed revenue turns into cash and how much of the expense budget is actually spent; they do not move New Joiners, Contribution % or Dropouts (those live on the grade table above, one row per grade).</t>
  </si>
  <si>
    <t>- Base Fee on Inputs is LAST year's fee. 'Fee Increase %' (per grade — 20% for grades II-IX, 0% elsewhere, per your source data) is now actively applied: Tuition Revenue for BOTH existing and new students is billed at Base Fee x (1 + Fee Increase %) in every scenario. Edit Fee Increase % per grade if you decide against raising fees for a particular grade.</t>
  </si>
  <si>
    <t>- Fee-Increase Breakeven analysis (Calculations tab, and summarised on Dashboard): since raising fees is expected to trigger some of the Possible Dropouts above, this section works out, per grade and per scenario, how many existing students could drop out before the fee increase stops paying for itself — i.e. before revenue falls below what you'd have collected with NO fee increase at all. The formula is the standard price/volume identity: Breakeven Dropout % = Fee Increase % / (1 + Fee Increase %). Dashboard shows this as a fixed Breakeven Dropout Threshold (count), your modelled Dropouts for the scenario, the Headroom between them (positive = you can absorb more dropouts than modelled before the increase becomes unprofitable), and the Revenue Impact of the fee increase vs. not raising fees at all, for existing students. This is a decision-support number, not a prediction — it tells you how much cushion the 20% increase has, given your own Dropout assumptions.</t>
  </si>
  <si>
    <t>- Possible Dropouts (existing students who may leave, e.g. because of the fee increase) now reduce Total Students and therefore Tuition Fee Revenue: Total Students = Existing - Possible Dropouts + New Joiners. They also reduce who is asked for a Contribution — that's now based on existing students who are actually staying on (Existing - Dropouts), not the full existing headcount, since a student about to leave presumably isn't asked to make a fresh returnable contribution. Dropouts get the same per-grade Pessimistic/Optimistic Δ% and overall Swing Multiplier treatment as New Joiners and Contribution % (Inputs columns N-P on the grade table, and the 3rd multiplier on the Scenario overlays table) — concentrated by default in the grades that see the 20% fee increase (II-IX); grades with no fee increase (Pre-KG-I) and the senior/board-year grades (X, AS, A2) are modelled as unaffected, per your source data.</t>
  </si>
  <si>
    <t>- Targeted Retention Scholarship (Inputs, bottom section; Calculations columns K-L; Dashboard rows): a limited, discreetly-offered merit-cum-means scholarship for at-risk families, rather than a school-wide discount — the 20% Fee Increase % is unchanged for everyone else. Only students who take up the scholarship pay the Subsidized Fee Increase % (default 13%) instead. You set a Target Pool to Retain per scenario (default 15 / 30 / 35 for Pessimistic / Realistic / Optimistic); the model spreads that pool across grades II-IX in the same proportion as the Possible Dropouts (Realistic) column, and automatically caps it, per grade and per scenario, at however many students are actually projected to drop out there — so Optimistic (fewer parents upset, only 17 at risk) can retain nearly everyone at risk, while Pessimistic (45 at risk vs. a 15-student target) still sees meaningful residual dropouts. The third party administering the scholarship is treated as a pure transactional pass-through — the cost sits with the school exactly as if it gave the discount directly.</t>
  </si>
  <si>
    <t>- The Returnable Fund's Opening Balance and Refunds Paid (Inputs, bottom section) are both locked at ₹0 by default and should stay that way: AY 2027-28 is the FIRST year this returnable contribution is being collected, so there's no prior-year balance and no departing student (Possible Dropouts included) could have contributed before — none are owed a refund yet. Only change these two cells once the fund has run for a year or more.</t>
  </si>
  <si>
    <t>- 'Returnable Fund — Closing Balance' and 'Unrestricted Cash Position' answer two different questions, and both are worth reading together. Closing Balance is a LIABILITY — how much the school owes back to contributing families. Unrestricted Cash Position (= Net Cash Flow minus that Closing Balance) is what the school actually has free to keep, once the money that must eventually be returned is set aside — it's the more honest number if you're checking whether the year's cash position is genuinely healthy, since Net Cash Flow on its own already counts the Fund's contributions as available cash even though they're not really the school's to spend.</t>
  </si>
  <si>
    <t>Colour legend</t>
  </si>
  <si>
    <t>Blue text = your editable input</t>
  </si>
  <si>
    <t>Black text = live formula (don't overwrite)</t>
  </si>
  <si>
    <t>Green text = link pulled from another sheet</t>
  </si>
  <si>
    <t>Yellow fill = key scenario / toggle controls</t>
  </si>
  <si>
    <t>Inputs &amp; Assumptions</t>
  </si>
  <si>
    <t>Edit any blue cell. Grades are rows, so each grade can have its own new-joiner / contribution swing (no blanket %).</t>
  </si>
  <si>
    <t>Active Scenario</t>
  </si>
  <si>
    <t>Realistic</t>
  </si>
  <si>
    <t>Treat 'Advance per New Joiner' as returnable (liability), not revenue?</t>
  </si>
  <si>
    <t>No</t>
  </si>
  <si>
    <t>Grade-wise enrollment, fee, contribution &amp; dropout assumptions</t>
  </si>
  <si>
    <t>Grade</t>
  </si>
  <si>
    <t>Existing
Students</t>
  </si>
  <si>
    <t>Base Fee
(₹, LAST year's)</t>
  </si>
  <si>
    <t>Fee Increase %
(applied to Base Fee)</t>
  </si>
  <si>
    <t>Max Capacity
(Total Seats =
Existing + New)</t>
  </si>
  <si>
    <t>New Joiners
- Realistic
(given, editable)</t>
  </si>
  <si>
    <t>New Joiners
Pessimistic Δ
(count)</t>
  </si>
  <si>
    <t>Contribution %
- Realistic
(existing students)</t>
  </si>
  <si>
    <t>Contribution
Pessimistic Δ (pp)</t>
  </si>
  <si>
    <t>Contribution
Optimistic Δ (pp)</t>
  </si>
  <si>
    <t>Contribution per
Student (₹)</t>
  </si>
  <si>
    <t>Advance per
New Joiner (₹)</t>
  </si>
  <si>
    <t>Possible Dropouts
- Realistic
(existing students)</t>
  </si>
  <si>
    <t>Dropout
Pessimistic Δ%
(more dropouts)</t>
  </si>
  <si>
    <t>Dropout
Optimistic Δ%
(fewer dropouts)</t>
  </si>
  <si>
    <t>New Joiners
Optimistic Δ
(count)</t>
  </si>
  <si>
    <t>Pre-KG</t>
  </si>
  <si>
    <t>LKG</t>
  </si>
  <si>
    <t>UKG</t>
  </si>
  <si>
    <t>I</t>
  </si>
  <si>
    <t>II</t>
  </si>
  <si>
    <t>III</t>
  </si>
  <si>
    <t>IV</t>
  </si>
  <si>
    <t>V</t>
  </si>
  <si>
    <t>VI</t>
  </si>
  <si>
    <t>VII</t>
  </si>
  <si>
    <t>VIII</t>
  </si>
  <si>
    <t>IX</t>
  </si>
  <si>
    <t>X</t>
  </si>
  <si>
    <t>AS</t>
  </si>
  <si>
    <t>A2</t>
  </si>
  <si>
    <t>Total</t>
  </si>
  <si>
    <t>Annual operating expenses (AY 2027-28 budget)</t>
  </si>
  <si>
    <t>Expense item</t>
  </si>
  <si>
    <t>Annual Amount (₹)</t>
  </si>
  <si>
    <t>Teacher salaries</t>
  </si>
  <si>
    <t>Rent</t>
  </si>
  <si>
    <t>Other core operating expenses</t>
  </si>
  <si>
    <t>Cambridge affiliation</t>
  </si>
  <si>
    <t>Safety / essential maintenance</t>
  </si>
  <si>
    <t>Property purchase loan servicing</t>
  </si>
  <si>
    <t>Growth marketing</t>
  </si>
  <si>
    <t>Additional / discretionary maintenance</t>
  </si>
  <si>
    <t>International obligations</t>
  </si>
  <si>
    <t>Miscellaneous Expenses</t>
  </si>
  <si>
    <t>Total Operating Expenses</t>
  </si>
  <si>
    <t>Scenario overlays — overall dials</t>
  </si>
  <si>
    <t>The three Swing Multiplier columns are your single overall control per scenario: raise/lower one number here and every grade's New Joiner / Contribution / Dropout assumption (set on the table above) scales together, in proportion. 1.0 = the per-grade defaults above; 1.5 = 50% more aggressive; 0.5 = half as aggressive. NOTE New Joiners is wired differently from Contribution/Dropout: for those two, Realistic is a fixed baseline and only Pessimistic/Optimistic scale; for New Joiners, Realistic IS multiplier-scaled too (it multiplies your given Realistic number), and Pessimistic/Optimistic each scale their own Delta (a headcount, added to Realistic) instead. Every New Joiners scenario is also capped so it can never exceed a grade's ceiling (Max Capacity minus Existing Students) or go below zero. Cells with no effect for a given scenario are left white (not yellow) below. Fee Collection Efficiency % and Cost Variance % are a separate, cash/expense-only lever — they do NOT move New Joiners, Contribution % or Dropouts.</t>
  </si>
  <si>
    <t>Scenario</t>
  </si>
  <si>
    <t>Fee Collection
Efficiency %
(cash only)</t>
  </si>
  <si>
    <t>Cost Variance %
(vs. budget)</t>
  </si>
  <si>
    <t>New Joiners Swing
Multiplier (overall)</t>
  </si>
  <si>
    <t>Contribution Swing
Multiplier (overall)</t>
  </si>
  <si>
    <t>Dropout Swing
Multiplier (overall)</t>
  </si>
  <si>
    <t>Pessimistic</t>
  </si>
  <si>
    <t>Optimistic</t>
  </si>
  <si>
    <t>Returnable fund (corpus) balances</t>
  </si>
  <si>
    <t>Opening Balance of Returnable Fund, 1-Apr-2027 (₹) — locked at ₹0: AY 2027-28 is the FIRST year this contribution is being collected, so no prior balance exists.</t>
  </si>
  <si>
    <t>Refunds Paid to Leaving Students during AY 2027-28 (₹) — should also be ₹0: since this is the first year of collection, no departing student (including Possible Dropouts) could have contributed in a prior year, so none are owed a refund yet.</t>
  </si>
  <si>
    <t>Targeted retention scholarship (merit-cum-means, third party as transactional proxy)</t>
  </si>
  <si>
    <t>Rather than lowering the fee increase for everyone, a limited pool of at-risk families is offered a subsidized increase through a discreet, third-party-administered merit-cum-means scholarship. The third party is a transactional pass-through only -- the school bears the cost exactly as if it gave the discount directly. Only students who actually take up the scholarship pay the Subsidized Fee Increase % below; every other student keeps paying the full Fee Increase % on the grade table above -- there is no school-wide discount. The Target Pool below is spread across grades in the same proportion as the Possible Dropouts (Realistic) column above, and is automatically capped, per grade and per scenario, at however many students are actually projected to drop out there -- so the scholarship can never show more students 'retained' than were ever at risk of leaving.</t>
  </si>
  <si>
    <t>Subsidized Fee Increase % (for scholarship-retained students only)</t>
  </si>
  <si>
    <t>Target Pool to Retain
(count, before capping by
modelled dropouts)</t>
  </si>
  <si>
    <t>AY 2027-28 What-If Dashboard</t>
  </si>
  <si>
    <t>Enrollment, returnable contributions, cash flow &amp; P&amp;L — scenario planning</t>
  </si>
  <si>
    <t>Active Scenario:</t>
  </si>
  <si>
    <t>(change it on the Inputs tab — every number below updates)</t>
  </si>
  <si>
    <t>Total Cash Inflow</t>
  </si>
  <si>
    <t>Total Cash Outflow</t>
  </si>
  <si>
    <t>Net Cash Flow</t>
  </si>
  <si>
    <t>P&amp;L Net Surplus / (Deficit)</t>
  </si>
  <si>
    <t>Revenue Impact of Fee Increase</t>
  </si>
  <si>
    <t>Returnable Fund — Closing Balance</t>
  </si>
  <si>
    <t>Scenario Comparison — P&amp;L &amp; Cash Flow</t>
  </si>
  <si>
    <t>Metric</t>
  </si>
  <si>
    <t>New Joiners (count)</t>
  </si>
  <si>
    <t>Possible Dropouts - Before Scholarship (count)</t>
  </si>
  <si>
    <t>Retained via Targeted Scholarship (count)</t>
  </si>
  <si>
    <t>Possible Dropouts - After Scholarship / Actual (count)</t>
  </si>
  <si>
    <t>Total Students</t>
  </si>
  <si>
    <t>Tuition Fee Revenue (₹, accrual)</t>
  </si>
  <si>
    <t>Tuition Fee Cash Collected (₹)</t>
  </si>
  <si>
    <t>Returnable Contribution Collected (₹)</t>
  </si>
  <si>
    <t>Advance from New Joiners Collected (₹)</t>
  </si>
  <si>
    <t>Total Cash Inflow (₹)</t>
  </si>
  <si>
    <t>Total Cash Outflow (₹)</t>
  </si>
  <si>
    <t>Net Cash Flow (₹)</t>
  </si>
  <si>
    <t>P&amp;L Total Revenue (₹)</t>
  </si>
  <si>
    <t>P&amp;L Total Operating Expenses (₹)</t>
  </si>
  <si>
    <t>P&amp;L Net Surplus / (Deficit) (₹)</t>
  </si>
  <si>
    <t>Fee-Increase Breakeven Dropout Threshold (count, fixed)</t>
  </si>
  <si>
    <t>Headroom vs Breakeven Dropouts (count, after scholarship)</t>
  </si>
  <si>
    <t>Revenue from Scholarship-Retained Students (₹)</t>
  </si>
  <si>
    <t>Revenue Impact of Fee Increase vs No-Increase (₹, net of scholarship)</t>
  </si>
  <si>
    <t>Returnable Fund — Closing Balance (₹)</t>
  </si>
  <si>
    <t>Unrestricted Cash Position (net of Fund obligations) (₹)</t>
  </si>
  <si>
    <t>Grade-wise Detail — Active Scenario</t>
  </si>
  <si>
    <t>New
Joiners</t>
  </si>
  <si>
    <t>Total
Students</t>
  </si>
  <si>
    <t>Tuition Fee
Revenue (₹)</t>
  </si>
  <si>
    <t>Contribution
%</t>
  </si>
  <si>
    <t>Contribution
Collected (₹)</t>
  </si>
  <si>
    <t>Advance
Collected (₹)</t>
  </si>
  <si>
    <t>Possible Dropouts
(after scholarship)</t>
  </si>
  <si>
    <t>Calculations — Scenario Engine</t>
  </si>
  <si>
    <t>Grade-by-grade math for each scenario. Everything here is a formula pulling from Inputs — normally no need to edit.</t>
  </si>
  <si>
    <t>PESSIMISTIC SCENARIO</t>
  </si>
  <si>
    <t>Possible Dropouts
(before scholarship)</t>
  </si>
  <si>
    <t>Retained via
Scholarship</t>
  </si>
  <si>
    <t>REALISTIC SCENARIO</t>
  </si>
  <si>
    <t>OPTIMISTIC SCENARIO</t>
  </si>
  <si>
    <t>FEE-INCREASE BREAKEVEN (existing students, fixed reference)</t>
  </si>
  <si>
    <t>Fee Increase
%</t>
  </si>
  <si>
    <t>Base Fee
(₹, last year)</t>
  </si>
  <si>
    <t>Breakeven
Dropout %</t>
  </si>
  <si>
    <t>Breakeven
Dropout Count</t>
  </si>
  <si>
    <t>Revenue if Fee
NOT Increased (₹)</t>
  </si>
  <si>
    <t>Revenue at
Breakeven (₹, check)</t>
  </si>
  <si>
    <t>SCENARIO SUMMARY — AY 2027-28</t>
  </si>
  <si>
    <t>Fee Collection Efficiency %</t>
  </si>
  <si>
    <t>Total Operating Expenses — Budget (₹)</t>
  </si>
  <si>
    <t>Cost Variance %</t>
  </si>
  <si>
    <t>P&amp;L — Tuition Fee Revenue (₹)</t>
  </si>
  <si>
    <t>P&amp;L — Advance Revenue (₹, only if not returnable)</t>
  </si>
  <si>
    <t>P&amp;L — Total Revenue (₹)</t>
  </si>
  <si>
    <t>P&amp;L — Total Operating Expenses (₹)</t>
  </si>
  <si>
    <t>P&amp;L — Net Surplus / (Deficit) (₹)</t>
  </si>
  <si>
    <t>Revenue Impact of Fee Increase vs No-Increase (₹, existing students only, net of scholarship)</t>
  </si>
  <si>
    <t>Returnable Fund — Opening Balance (₹)</t>
  </si>
  <si>
    <t>Returnable Fund — Additions (₹)</t>
  </si>
  <si>
    <t>Returnable Fund — Refunds Paid (₹)</t>
  </si>
  <si>
    <t>Unrestricted Cash Position (Net Cash Flow, net of Returnable Fund obligations)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</si>
</sst>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quot;(₹&quot;#,##0\);\-"/>
    <numFmt numFmtId="166" formatCode="0.0%;\(0.0%\);\-"/>
    <numFmt numFmtId="167" formatCode="0.00\x"/>
  </numFmts>
  <fonts count="16" x14ac:knownFonts="1">
    <font>
      <sz val="11"/>
      <color theme="1"/>
      <name val="Calibri"/>
      <family val="2"/>
      <charset val="1"/>
    </font>
    <font>
      <b/>
      <sz val="14"/>
      <color rgb="FF1F3864"/>
      <name val="Arial"/>
      <charset val="1"/>
    </font>
    <font>
      <i/>
      <sz val="10"/>
      <color rgb="FF595959"/>
      <name val="Arial"/>
      <charset val="1"/>
    </font>
    <font>
      <b/>
      <sz val="11"/>
      <color rgb="FF1F3864"/>
      <name val="Arial"/>
      <charset val="1"/>
    </font>
    <font>
      <sz val="10"/>
      <color rgb="FF000000"/>
      <name val="Arial"/>
      <charset val="1"/>
    </font>
    <font>
      <sz val="10"/>
      <color rgb="FF0000FF"/>
      <name val="Arial"/>
      <charset val="1"/>
    </font>
    <font>
      <sz val="10"/>
      <color rgb="FF008000"/>
      <name val="Arial"/>
      <charset val="1"/>
    </font>
    <font>
      <b/>
      <sz val="10"/>
      <color rgb="FF000000"/>
      <name val="Arial"/>
      <charset val="1"/>
    </font>
    <font>
      <b/>
      <sz val="11"/>
      <color rgb="FF000000"/>
      <name val="Arial"/>
      <charset val="1"/>
    </font>
    <font>
      <b/>
      <sz val="11"/>
      <color rgb="FFFFFFFF"/>
      <name val="Arial"/>
      <charset val="1"/>
    </font>
    <font>
      <b/>
      <sz val="9"/>
      <color rgb="FF1F3864"/>
      <name val="Arial"/>
      <charset val="1"/>
    </font>
    <font>
      <i/>
      <sz val="8.5"/>
      <color rgb="FF595959"/>
      <name val="Arial"/>
      <charset val="1"/>
    </font>
    <font>
      <i/>
      <sz val="9"/>
      <color rgb="FF000000"/>
      <name val="Arial"/>
      <charset val="1"/>
    </font>
    <font>
      <b/>
      <sz val="12"/>
      <color rgb="FF1F3864"/>
      <name val="Arial"/>
      <charset val="1"/>
    </font>
    <font>
      <b/>
      <sz val="9"/>
      <color rgb="FFFFFFFF"/>
      <name val="Arial"/>
      <charset val="1"/>
    </font>
    <font>
      <b/>
      <sz val="11"/>
      <color rgb="FFFF0000"/>
      <name val="Calibri"/>
      <family val="2"/>
    </font>
  </fonts>
  <fills count="7">
    <fill>
      <patternFill patternType="none"/>
    </fill>
    <fill>
      <patternFill patternType="gray125"/>
    </fill>
    <fill>
      <patternFill patternType="solid">
        <fgColor rgb="FFFFFF00"/>
        <bgColor rgb="FFFFFF00"/>
      </patternFill>
    </fill>
    <fill>
      <patternFill patternType="solid">
        <fgColor rgb="FF2E5496"/>
        <bgColor rgb="FF1F3864"/>
      </patternFill>
    </fill>
    <fill>
      <patternFill patternType="solid">
        <fgColor rgb="FFD9E1F2"/>
        <bgColor rgb="FFD9D9D9"/>
      </patternFill>
    </fill>
    <fill>
      <patternFill patternType="solid">
        <fgColor rgb="FFF2F2F2"/>
        <bgColor rgb="FFF2F6FC"/>
      </patternFill>
    </fill>
    <fill>
      <patternFill patternType="solid">
        <fgColor rgb="FFF2F6FC"/>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1">
    <xf numFmtId="0" fontId="0" fillId="0" borderId="0" xfId="0"/>
    <xf numFmtId="0" fontId="7" fillId="0" borderId="0" xfId="0" applyFont="1"/>
    <xf numFmtId="0" fontId="2" fillId="0" borderId="0" xfId="0" applyFont="1"/>
    <xf numFmtId="0" fontId="1" fillId="0" borderId="0" xfId="0" applyFont="1"/>
    <xf numFmtId="0" fontId="8" fillId="2" borderId="1" xfId="0" applyFont="1" applyFill="1" applyBorder="1" applyAlignment="1">
      <alignment horizontal="center"/>
    </xf>
    <xf numFmtId="0" fontId="0" fillId="2" borderId="1" xfId="0" applyFill="1" applyBorder="1" applyAlignment="1">
      <alignment horizontal="center"/>
    </xf>
    <xf numFmtId="0" fontId="10" fillId="4" borderId="1" xfId="0" applyFont="1" applyFill="1" applyBorder="1" applyAlignment="1">
      <alignment horizontal="center" vertical="center" wrapText="1"/>
    </xf>
    <xf numFmtId="0" fontId="7" fillId="0" borderId="1" xfId="0" applyFont="1" applyBorder="1"/>
    <xf numFmtId="164" fontId="5" fillId="0" borderId="1" xfId="0" applyNumberFormat="1" applyFont="1" applyBorder="1" applyAlignment="1">
      <alignment horizontal="center"/>
    </xf>
    <xf numFmtId="165" fontId="5" fillId="0" borderId="1" xfId="0" applyNumberFormat="1" applyFont="1" applyBorder="1" applyAlignment="1">
      <alignment horizontal="center"/>
    </xf>
    <xf numFmtId="166" fontId="5" fillId="0" borderId="1" xfId="0" applyNumberFormat="1" applyFont="1" applyBorder="1" applyAlignment="1">
      <alignment horizontal="center"/>
    </xf>
    <xf numFmtId="0" fontId="7" fillId="5" borderId="0" xfId="0" applyFont="1" applyFill="1"/>
    <xf numFmtId="164" fontId="7" fillId="5" borderId="1" xfId="0" applyNumberFormat="1" applyFont="1" applyFill="1" applyBorder="1"/>
    <xf numFmtId="0" fontId="0" fillId="5" borderId="0" xfId="0" applyFill="1"/>
    <xf numFmtId="0" fontId="10" fillId="4" borderId="1" xfId="0" applyFont="1" applyFill="1" applyBorder="1"/>
    <xf numFmtId="0" fontId="4" fillId="0" borderId="1" xfId="0" applyFont="1" applyBorder="1"/>
    <xf numFmtId="165" fontId="5" fillId="0" borderId="1" xfId="0" applyNumberFormat="1" applyFont="1" applyBorder="1"/>
    <xf numFmtId="0" fontId="7" fillId="5" borderId="1" xfId="0" applyFont="1" applyFill="1" applyBorder="1"/>
    <xf numFmtId="165" fontId="7" fillId="5" borderId="1" xfId="0" applyNumberFormat="1" applyFont="1" applyFill="1" applyBorder="1"/>
    <xf numFmtId="0" fontId="10" fillId="4" borderId="1" xfId="0" applyFont="1" applyFill="1" applyBorder="1" applyAlignment="1">
      <alignment horizontal="center" wrapText="1"/>
    </xf>
    <xf numFmtId="167" fontId="5" fillId="2" borderId="1" xfId="0" applyNumberFormat="1" applyFont="1" applyFill="1" applyBorder="1" applyAlignment="1">
      <alignment horizontal="center"/>
    </xf>
    <xf numFmtId="167" fontId="5" fillId="0" borderId="1" xfId="0" applyNumberFormat="1" applyFont="1" applyBorder="1" applyAlignment="1">
      <alignment horizontal="center"/>
    </xf>
    <xf numFmtId="165" fontId="5" fillId="2" borderId="1" xfId="0" applyNumberFormat="1" applyFont="1" applyFill="1" applyBorder="1"/>
    <xf numFmtId="166" fontId="5" fillId="2" borderId="1" xfId="0" applyNumberFormat="1" applyFont="1" applyFill="1" applyBorder="1" applyAlignment="1">
      <alignment horizontal="center"/>
    </xf>
    <xf numFmtId="164" fontId="5" fillId="2" borderId="1" xfId="0" applyNumberFormat="1" applyFont="1" applyFill="1" applyBorder="1" applyAlignment="1">
      <alignment horizontal="center"/>
    </xf>
    <xf numFmtId="0" fontId="10" fillId="4" borderId="1" xfId="0" applyFont="1" applyFill="1" applyBorder="1" applyAlignment="1">
      <alignment horizontal="center"/>
    </xf>
    <xf numFmtId="164" fontId="6" fillId="0" borderId="1" xfId="0" applyNumberFormat="1" applyFont="1" applyBorder="1" applyAlignment="1">
      <alignment horizontal="center"/>
    </xf>
    <xf numFmtId="164" fontId="6" fillId="5" borderId="1" xfId="0" applyNumberFormat="1" applyFont="1" applyFill="1" applyBorder="1" applyAlignment="1">
      <alignment horizontal="center"/>
    </xf>
    <xf numFmtId="165" fontId="6" fillId="0" borderId="1" xfId="0" applyNumberFormat="1" applyFont="1" applyBorder="1" applyAlignment="1">
      <alignment horizontal="center"/>
    </xf>
    <xf numFmtId="165" fontId="6" fillId="5" borderId="1" xfId="0" applyNumberFormat="1" applyFont="1" applyFill="1" applyBorder="1" applyAlignment="1">
      <alignment horizontal="center"/>
    </xf>
    <xf numFmtId="0" fontId="6" fillId="0" borderId="1" xfId="0" applyFont="1" applyBorder="1" applyAlignment="1">
      <alignment horizontal="left"/>
    </xf>
    <xf numFmtId="166" fontId="6" fillId="0" borderId="1" xfId="0" applyNumberFormat="1" applyFont="1" applyBorder="1" applyAlignment="1">
      <alignment horizontal="center"/>
    </xf>
    <xf numFmtId="164" fontId="7" fillId="5" borderId="1" xfId="0" applyNumberFormat="1" applyFont="1" applyFill="1" applyBorder="1" applyAlignment="1">
      <alignment horizontal="center"/>
    </xf>
    <xf numFmtId="165" fontId="7" fillId="5" borderId="1" xfId="0" applyNumberFormat="1" applyFont="1" applyFill="1" applyBorder="1" applyAlignment="1">
      <alignment horizontal="center"/>
    </xf>
    <xf numFmtId="0" fontId="0" fillId="5" borderId="1" xfId="0" applyFill="1" applyBorder="1"/>
    <xf numFmtId="164" fontId="4" fillId="0" borderId="1" xfId="0" applyNumberFormat="1" applyFont="1" applyBorder="1" applyAlignment="1">
      <alignment horizontal="center"/>
    </xf>
    <xf numFmtId="165" fontId="4" fillId="0" borderId="1" xfId="0" applyNumberFormat="1" applyFont="1" applyBorder="1" applyAlignment="1">
      <alignment horizontal="center"/>
    </xf>
    <xf numFmtId="166" fontId="4" fillId="0" borderId="1" xfId="0" applyNumberFormat="1" applyFont="1" applyBorder="1" applyAlignment="1">
      <alignment horizontal="center"/>
    </xf>
    <xf numFmtId="0" fontId="15" fillId="0" borderId="0" xfId="0" applyFont="1"/>
    <xf numFmtId="0" fontId="13" fillId="2" borderId="0" xfId="0" applyFont="1" applyFill="1" applyAlignment="1">
      <alignment horizontal="center"/>
    </xf>
    <xf numFmtId="0" fontId="2" fillId="0" borderId="0" xfId="0" applyFont="1"/>
    <xf numFmtId="0" fontId="14" fillId="3" borderId="0" xfId="0" applyFont="1" applyFill="1" applyAlignment="1">
      <alignment horizontal="center" wrapText="1"/>
    </xf>
    <xf numFmtId="0" fontId="9" fillId="3" borderId="0" xfId="0" applyFont="1" applyFill="1"/>
    <xf numFmtId="165" fontId="1" fillId="6" borderId="0" xfId="0" applyNumberFormat="1" applyFont="1" applyFill="1" applyAlignment="1">
      <alignment horizontal="center" vertical="center"/>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xf numFmtId="0" fontId="11" fillId="0" borderId="0" xfId="0" applyFont="1" applyAlignment="1">
      <alignment vertical="top" wrapText="1"/>
    </xf>
    <xf numFmtId="0" fontId="12" fillId="0" borderId="0" xfId="0" applyFont="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9F9F9"/>
      <rgbColor rgb="FFF2F6FC"/>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D9E1F2"/>
      <rgbColor rgb="FFFFFF99"/>
      <rgbColor rgb="FF99CCFF"/>
      <rgbColor rgb="FFFF99CC"/>
      <rgbColor rgb="FFCC99FF"/>
      <rgbColor rgb="FFFFCC99"/>
      <rgbColor rgb="FF4F81BD"/>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Net Cash Flow vs. Net Surplus/(Deficit) by Scenario</a:t>
            </a:r>
          </a:p>
        </c:rich>
      </c:tx>
      <c:overlay val="0"/>
      <c:spPr>
        <a:noFill/>
        <a:ln w="0">
          <a:noFill/>
        </a:ln>
      </c:spPr>
    </c:title>
    <c:autoTitleDeleted val="0"/>
    <c:plotArea>
      <c:layout/>
      <c:barChart>
        <c:barDir val="col"/>
        <c:grouping val="clustered"/>
        <c:varyColors val="0"/>
        <c:ser>
          <c:idx val="0"/>
          <c:order val="0"/>
          <c:tx>
            <c:strRef>
              <c:f>Calculations!$B$101</c:f>
              <c:strCache>
                <c:ptCount val="1"/>
                <c:pt idx="0">
                  <c:v>Net Cash Flow (₹)</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Calculations!$C$85:$E$85</c:f>
              <c:strCache>
                <c:ptCount val="3"/>
                <c:pt idx="0">
                  <c:v>Pessimistic</c:v>
                </c:pt>
                <c:pt idx="1">
                  <c:v>Realistic</c:v>
                </c:pt>
                <c:pt idx="2">
                  <c:v>Optimistic</c:v>
                </c:pt>
              </c:strCache>
            </c:strRef>
          </c:cat>
          <c:val>
            <c:numRef>
              <c:f>Calculations!$C$101:$E$101</c:f>
              <c:numCache>
                <c:formatCode>\₹#,##0;"(₹"#,##0\);\-</c:formatCode>
                <c:ptCount val="3"/>
                <c:pt idx="0">
                  <c:v>-21983680.280000001</c:v>
                </c:pt>
                <c:pt idx="1">
                  <c:v>16572.29999999702</c:v>
                </c:pt>
                <c:pt idx="2">
                  <c:v>21171104.61999999</c:v>
                </c:pt>
              </c:numCache>
            </c:numRef>
          </c:val>
          <c:extLst>
            <c:ext xmlns:c16="http://schemas.microsoft.com/office/drawing/2014/chart" uri="{C3380CC4-5D6E-409C-BE32-E72D297353CC}">
              <c16:uniqueId val="{00000000-A05F-4259-9290-720599B9B226}"/>
            </c:ext>
          </c:extLst>
        </c:ser>
        <c:ser>
          <c:idx val="1"/>
          <c:order val="1"/>
          <c:tx>
            <c:strRef>
              <c:f>Calculations!$B$107</c:f>
              <c:strCache>
                <c:ptCount val="1"/>
                <c:pt idx="0">
                  <c:v>P&amp;L — Net Surplus / (Deficit) (₹)</c:v>
                </c:pt>
              </c:strCache>
            </c:strRef>
          </c:tx>
          <c:spPr>
            <a:solidFill>
              <a:srgbClr val="C0504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Calculations!$C$85:$E$85</c:f>
              <c:strCache>
                <c:ptCount val="3"/>
                <c:pt idx="0">
                  <c:v>Pessimistic</c:v>
                </c:pt>
                <c:pt idx="1">
                  <c:v>Realistic</c:v>
                </c:pt>
                <c:pt idx="2">
                  <c:v>Optimistic</c:v>
                </c:pt>
              </c:strCache>
            </c:strRef>
          </c:cat>
          <c:val>
            <c:numRef>
              <c:f>Calculations!$C$107:$E$107</c:f>
              <c:numCache>
                <c:formatCode>\₹#,##0;"(₹"#,##0\);\-</c:formatCode>
                <c:ptCount val="3"/>
                <c:pt idx="0">
                  <c:v>-12627141.88000001</c:v>
                </c:pt>
                <c:pt idx="1">
                  <c:v>3898194</c:v>
                </c:pt>
                <c:pt idx="2">
                  <c:v>22621917.920000002</c:v>
                </c:pt>
              </c:numCache>
            </c:numRef>
          </c:val>
          <c:extLst>
            <c:ext xmlns:c16="http://schemas.microsoft.com/office/drawing/2014/chart" uri="{C3380CC4-5D6E-409C-BE32-E72D297353CC}">
              <c16:uniqueId val="{00000001-A05F-4259-9290-720599B9B226}"/>
            </c:ext>
          </c:extLst>
        </c:ser>
        <c:dLbls>
          <c:showLegendKey val="0"/>
          <c:showVal val="0"/>
          <c:showCatName val="0"/>
          <c:showSerName val="0"/>
          <c:showPercent val="0"/>
          <c:showBubbleSize val="0"/>
        </c:dLbls>
        <c:gapWidth val="150"/>
        <c:axId val="23740115"/>
        <c:axId val="77735999"/>
      </c:barChart>
      <c:catAx>
        <c:axId val="23740115"/>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Scenario</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7735999"/>
        <c:crosses val="autoZero"/>
        <c:auto val="1"/>
        <c:lblAlgn val="ctr"/>
        <c:lblOffset val="100"/>
        <c:noMultiLvlLbl val="0"/>
      </c:catAx>
      <c:valAx>
        <c:axId val="7773599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374011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54</xdr:row>
      <xdr:rowOff>160920</xdr:rowOff>
    </xdr:from>
    <xdr:to>
      <xdr:col>6</xdr:col>
      <xdr:colOff>417960</xdr:colOff>
      <xdr:row>69</xdr:row>
      <xdr:rowOff>182880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29"/>
  <sheetViews>
    <sheetView showGridLines="0" topLeftCell="A6" zoomScaleNormal="100" workbookViewId="0">
      <selection activeCell="B13" sqref="B13:L13"/>
    </sheetView>
  </sheetViews>
  <sheetFormatPr defaultColWidth="8.6640625" defaultRowHeight="14.4" x14ac:dyDescent="0.3"/>
  <cols>
    <col min="1" max="1" width="2" customWidth="1"/>
    <col min="2" max="12" width="11" customWidth="1"/>
  </cols>
  <sheetData>
    <row r="2" spans="2:12" ht="17.399999999999999" x14ac:dyDescent="0.3">
      <c r="B2" s="3" t="s">
        <v>0</v>
      </c>
    </row>
    <row r="3" spans="2:12" x14ac:dyDescent="0.3">
      <c r="B3" s="2" t="s">
        <v>1</v>
      </c>
    </row>
    <row r="5" spans="2:12" ht="15" customHeight="1" x14ac:dyDescent="0.3">
      <c r="B5" s="44" t="s">
        <v>2</v>
      </c>
      <c r="C5" s="44"/>
      <c r="D5" s="44"/>
      <c r="E5" s="44"/>
      <c r="F5" s="44"/>
      <c r="G5" s="44"/>
      <c r="H5" s="44"/>
      <c r="I5" s="44"/>
      <c r="J5" s="44"/>
      <c r="K5" s="44"/>
      <c r="L5" s="44"/>
    </row>
    <row r="6" spans="2:12" ht="27.75" customHeight="1" x14ac:dyDescent="0.3">
      <c r="B6" s="45" t="s">
        <v>3</v>
      </c>
      <c r="C6" s="45"/>
      <c r="D6" s="45"/>
      <c r="E6" s="45"/>
      <c r="F6" s="45"/>
      <c r="G6" s="45"/>
      <c r="H6" s="45"/>
      <c r="I6" s="45"/>
      <c r="J6" s="45"/>
      <c r="K6" s="45"/>
      <c r="L6" s="45"/>
    </row>
    <row r="7" spans="2:12" ht="27.75" customHeight="1" x14ac:dyDescent="0.3">
      <c r="B7" s="45" t="s">
        <v>4</v>
      </c>
      <c r="C7" s="45"/>
      <c r="D7" s="45"/>
      <c r="E7" s="45"/>
      <c r="F7" s="45"/>
      <c r="G7" s="45"/>
      <c r="H7" s="45"/>
      <c r="I7" s="45"/>
      <c r="J7" s="45"/>
      <c r="K7" s="45"/>
      <c r="L7" s="45"/>
    </row>
    <row r="8" spans="2:12" ht="27.75" customHeight="1" x14ac:dyDescent="0.3">
      <c r="B8" s="45" t="s">
        <v>5</v>
      </c>
      <c r="C8" s="45"/>
      <c r="D8" s="45"/>
      <c r="E8" s="45"/>
      <c r="F8" s="45"/>
      <c r="G8" s="45"/>
      <c r="H8" s="45"/>
      <c r="I8" s="45"/>
      <c r="J8" s="45"/>
      <c r="K8" s="45"/>
      <c r="L8" s="45"/>
    </row>
    <row r="9" spans="2:12" ht="27.75" customHeight="1" x14ac:dyDescent="0.3">
      <c r="B9" s="45" t="s">
        <v>6</v>
      </c>
      <c r="C9" s="45"/>
      <c r="D9" s="45"/>
      <c r="E9" s="45"/>
      <c r="F9" s="45"/>
      <c r="G9" s="45"/>
      <c r="H9" s="45"/>
      <c r="I9" s="45"/>
      <c r="J9" s="45"/>
      <c r="K9" s="45"/>
      <c r="L9" s="45"/>
    </row>
    <row r="10" spans="2:12" ht="15" customHeight="1" x14ac:dyDescent="0.3">
      <c r="B10" s="45"/>
      <c r="C10" s="45"/>
      <c r="D10" s="45"/>
      <c r="E10" s="45"/>
      <c r="F10" s="45"/>
      <c r="G10" s="45"/>
      <c r="H10" s="45"/>
      <c r="I10" s="45"/>
      <c r="J10" s="45"/>
      <c r="K10" s="45"/>
      <c r="L10" s="45"/>
    </row>
    <row r="11" spans="2:12" ht="15" customHeight="1" x14ac:dyDescent="0.3">
      <c r="B11" s="44" t="s">
        <v>7</v>
      </c>
      <c r="C11" s="44"/>
      <c r="D11" s="44"/>
      <c r="E11" s="44"/>
      <c r="F11" s="44"/>
      <c r="G11" s="44"/>
      <c r="H11" s="44"/>
      <c r="I11" s="44"/>
      <c r="J11" s="44"/>
      <c r="K11" s="44"/>
      <c r="L11" s="44"/>
    </row>
    <row r="12" spans="2:12" ht="27.75" customHeight="1" x14ac:dyDescent="0.3">
      <c r="B12" s="45" t="s">
        <v>8</v>
      </c>
      <c r="C12" s="45"/>
      <c r="D12" s="45"/>
      <c r="E12" s="45"/>
      <c r="F12" s="45"/>
      <c r="G12" s="45"/>
      <c r="H12" s="45"/>
      <c r="I12" s="45"/>
      <c r="J12" s="45"/>
      <c r="K12" s="45"/>
      <c r="L12" s="45"/>
    </row>
    <row r="13" spans="2:12" ht="27.75" customHeight="1" x14ac:dyDescent="0.3">
      <c r="B13" s="45" t="s">
        <v>9</v>
      </c>
      <c r="C13" s="45"/>
      <c r="D13" s="45"/>
      <c r="E13" s="45"/>
      <c r="F13" s="45"/>
      <c r="G13" s="45"/>
      <c r="H13" s="45"/>
      <c r="I13" s="45"/>
      <c r="J13" s="45"/>
      <c r="K13" s="45"/>
      <c r="L13" s="45"/>
    </row>
    <row r="14" spans="2:12" ht="27.75" customHeight="1" x14ac:dyDescent="0.3">
      <c r="B14" s="45" t="s">
        <v>10</v>
      </c>
      <c r="C14" s="45"/>
      <c r="D14" s="45"/>
      <c r="E14" s="45"/>
      <c r="F14" s="45"/>
      <c r="G14" s="45"/>
      <c r="H14" s="45"/>
      <c r="I14" s="45"/>
      <c r="J14" s="45"/>
      <c r="K14" s="45"/>
      <c r="L14" s="45"/>
    </row>
    <row r="15" spans="2:12" ht="27.75" customHeight="1" x14ac:dyDescent="0.3">
      <c r="B15" s="45" t="s">
        <v>11</v>
      </c>
      <c r="C15" s="45"/>
      <c r="D15" s="45"/>
      <c r="E15" s="45"/>
      <c r="F15" s="45"/>
      <c r="G15" s="45"/>
      <c r="H15" s="45"/>
      <c r="I15" s="45"/>
      <c r="J15" s="45"/>
      <c r="K15" s="45"/>
      <c r="L15" s="45"/>
    </row>
    <row r="16" spans="2:12" ht="27.75" customHeight="1" x14ac:dyDescent="0.3">
      <c r="B16" s="45" t="s">
        <v>12</v>
      </c>
      <c r="C16" s="45"/>
      <c r="D16" s="45"/>
      <c r="E16" s="45"/>
      <c r="F16" s="45"/>
      <c r="G16" s="45"/>
      <c r="H16" s="45"/>
      <c r="I16" s="45"/>
      <c r="J16" s="45"/>
      <c r="K16" s="45"/>
      <c r="L16" s="45"/>
    </row>
    <row r="17" spans="2:12" ht="27.75" customHeight="1" x14ac:dyDescent="0.3">
      <c r="B17" s="45" t="s">
        <v>13</v>
      </c>
      <c r="C17" s="45"/>
      <c r="D17" s="45"/>
      <c r="E17" s="45"/>
      <c r="F17" s="45"/>
      <c r="G17" s="45"/>
      <c r="H17" s="45"/>
      <c r="I17" s="45"/>
      <c r="J17" s="45"/>
      <c r="K17" s="45"/>
      <c r="L17" s="45"/>
    </row>
    <row r="18" spans="2:12" ht="27.75" customHeight="1" x14ac:dyDescent="0.3">
      <c r="B18" s="45" t="s">
        <v>14</v>
      </c>
      <c r="C18" s="45"/>
      <c r="D18" s="45"/>
      <c r="E18" s="45"/>
      <c r="F18" s="45"/>
      <c r="G18" s="45"/>
      <c r="H18" s="45"/>
      <c r="I18" s="45"/>
      <c r="J18" s="45"/>
      <c r="K18" s="45"/>
      <c r="L18" s="45"/>
    </row>
    <row r="19" spans="2:12" ht="27.75" customHeight="1" x14ac:dyDescent="0.3">
      <c r="B19" s="45" t="s">
        <v>15</v>
      </c>
      <c r="C19" s="45"/>
      <c r="D19" s="45"/>
      <c r="E19" s="45"/>
      <c r="F19" s="45"/>
      <c r="G19" s="45"/>
      <c r="H19" s="45"/>
      <c r="I19" s="45"/>
      <c r="J19" s="45"/>
      <c r="K19" s="45"/>
      <c r="L19" s="45"/>
    </row>
    <row r="20" spans="2:12" ht="27.75" customHeight="1" x14ac:dyDescent="0.3">
      <c r="B20" s="45" t="s">
        <v>16</v>
      </c>
      <c r="C20" s="45"/>
      <c r="D20" s="45"/>
      <c r="E20" s="45"/>
      <c r="F20" s="45"/>
      <c r="G20" s="45"/>
      <c r="H20" s="45"/>
      <c r="I20" s="45"/>
      <c r="J20" s="45"/>
      <c r="K20" s="45"/>
      <c r="L20" s="45"/>
    </row>
    <row r="21" spans="2:12" ht="27.75" customHeight="1" x14ac:dyDescent="0.3">
      <c r="B21" s="45" t="s">
        <v>17</v>
      </c>
      <c r="C21" s="45"/>
      <c r="D21" s="45"/>
      <c r="E21" s="45"/>
      <c r="F21" s="45"/>
      <c r="G21" s="45"/>
      <c r="H21" s="45"/>
      <c r="I21" s="45"/>
      <c r="J21" s="45"/>
      <c r="K21" s="45"/>
      <c r="L21" s="45"/>
    </row>
    <row r="22" spans="2:12" ht="27.75" customHeight="1" x14ac:dyDescent="0.3">
      <c r="B22" s="45" t="s">
        <v>18</v>
      </c>
      <c r="C22" s="45"/>
      <c r="D22" s="45"/>
      <c r="E22" s="45"/>
      <c r="F22" s="45"/>
      <c r="G22" s="45"/>
      <c r="H22" s="45"/>
      <c r="I22" s="45"/>
      <c r="J22" s="45"/>
      <c r="K22" s="45"/>
      <c r="L22" s="45"/>
    </row>
    <row r="23" spans="2:12" ht="27.75" customHeight="1" x14ac:dyDescent="0.3">
      <c r="B23" s="45" t="s">
        <v>19</v>
      </c>
      <c r="C23" s="45"/>
      <c r="D23" s="45"/>
      <c r="E23" s="45"/>
      <c r="F23" s="45"/>
      <c r="G23" s="45"/>
      <c r="H23" s="45"/>
      <c r="I23" s="45"/>
      <c r="J23" s="45"/>
      <c r="K23" s="45"/>
      <c r="L23" s="45"/>
    </row>
    <row r="24" spans="2:12" ht="15" customHeight="1" x14ac:dyDescent="0.3">
      <c r="B24" s="45"/>
      <c r="C24" s="45"/>
      <c r="D24" s="45"/>
      <c r="E24" s="45"/>
      <c r="F24" s="45"/>
      <c r="G24" s="45"/>
      <c r="H24" s="45"/>
      <c r="I24" s="45"/>
      <c r="J24" s="45"/>
      <c r="K24" s="45"/>
      <c r="L24" s="45"/>
    </row>
    <row r="25" spans="2:12" ht="15" customHeight="1" x14ac:dyDescent="0.3">
      <c r="B25" s="44" t="s">
        <v>20</v>
      </c>
      <c r="C25" s="44"/>
      <c r="D25" s="44"/>
      <c r="E25" s="44"/>
      <c r="F25" s="44"/>
      <c r="G25" s="44"/>
      <c r="H25" s="44"/>
      <c r="I25" s="44"/>
      <c r="J25" s="44"/>
      <c r="K25" s="44"/>
      <c r="L25" s="44"/>
    </row>
    <row r="26" spans="2:12" ht="15" customHeight="1" x14ac:dyDescent="0.3">
      <c r="B26" s="46" t="s">
        <v>21</v>
      </c>
      <c r="C26" s="46"/>
      <c r="D26" s="46"/>
      <c r="E26" s="46"/>
      <c r="F26" s="46"/>
      <c r="G26" s="46"/>
      <c r="H26" s="46"/>
      <c r="I26" s="46"/>
      <c r="J26" s="46"/>
      <c r="K26" s="46"/>
      <c r="L26" s="46"/>
    </row>
    <row r="27" spans="2:12" ht="15" customHeight="1" x14ac:dyDescent="0.3">
      <c r="B27" s="45" t="s">
        <v>22</v>
      </c>
      <c r="C27" s="45"/>
      <c r="D27" s="45"/>
      <c r="E27" s="45"/>
      <c r="F27" s="45"/>
      <c r="G27" s="45"/>
      <c r="H27" s="45"/>
      <c r="I27" s="45"/>
      <c r="J27" s="45"/>
      <c r="K27" s="45"/>
      <c r="L27" s="45"/>
    </row>
    <row r="28" spans="2:12" ht="15" customHeight="1" x14ac:dyDescent="0.3">
      <c r="B28" s="47" t="s">
        <v>23</v>
      </c>
      <c r="C28" s="47"/>
      <c r="D28" s="47"/>
      <c r="E28" s="47"/>
      <c r="F28" s="47"/>
      <c r="G28" s="47"/>
      <c r="H28" s="47"/>
      <c r="I28" s="47"/>
      <c r="J28" s="47"/>
      <c r="K28" s="47"/>
      <c r="L28" s="47"/>
    </row>
    <row r="29" spans="2:12" ht="15" customHeight="1" x14ac:dyDescent="0.3">
      <c r="B29" s="45" t="s">
        <v>24</v>
      </c>
      <c r="C29" s="45"/>
      <c r="D29" s="45"/>
      <c r="E29" s="45"/>
      <c r="F29" s="45"/>
      <c r="G29" s="45"/>
      <c r="H29" s="45"/>
      <c r="I29" s="45"/>
      <c r="J29" s="45"/>
      <c r="K29" s="45"/>
      <c r="L29" s="45"/>
    </row>
  </sheetData>
  <mergeCells count="25">
    <mergeCell ref="B25:L25"/>
    <mergeCell ref="B26:L26"/>
    <mergeCell ref="B27:L27"/>
    <mergeCell ref="B28:L28"/>
    <mergeCell ref="B29:L29"/>
    <mergeCell ref="B20:L20"/>
    <mergeCell ref="B21:L21"/>
    <mergeCell ref="B22:L22"/>
    <mergeCell ref="B23:L23"/>
    <mergeCell ref="B24:L24"/>
    <mergeCell ref="B15:L15"/>
    <mergeCell ref="B16:L16"/>
    <mergeCell ref="B17:L17"/>
    <mergeCell ref="B18:L18"/>
    <mergeCell ref="B19:L19"/>
    <mergeCell ref="B10:L10"/>
    <mergeCell ref="B11:L11"/>
    <mergeCell ref="B12:L12"/>
    <mergeCell ref="B13:L13"/>
    <mergeCell ref="B14:L14"/>
    <mergeCell ref="B5:L5"/>
    <mergeCell ref="B6:L6"/>
    <mergeCell ref="B7:L7"/>
    <mergeCell ref="B8:L8"/>
    <mergeCell ref="B9:L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Q58"/>
  <sheetViews>
    <sheetView showGridLines="0" tabSelected="1" zoomScaleNormal="100" workbookViewId="0">
      <selection activeCell="D9" sqref="D9"/>
    </sheetView>
  </sheetViews>
  <sheetFormatPr defaultColWidth="8.6640625" defaultRowHeight="14.4" x14ac:dyDescent="0.3"/>
  <cols>
    <col min="2" max="2" width="30" customWidth="1"/>
    <col min="3" max="3" width="16.21875" customWidth="1"/>
    <col min="4" max="11" width="12" customWidth="1"/>
    <col min="12" max="17" width="13" customWidth="1"/>
  </cols>
  <sheetData>
    <row r="1" spans="2:17" ht="17.399999999999999" x14ac:dyDescent="0.3">
      <c r="B1" s="3" t="s">
        <v>25</v>
      </c>
    </row>
    <row r="2" spans="2:17" x14ac:dyDescent="0.3">
      <c r="B2" s="2" t="s">
        <v>26</v>
      </c>
    </row>
    <row r="4" spans="2:17" x14ac:dyDescent="0.3">
      <c r="B4" s="1" t="s">
        <v>27</v>
      </c>
      <c r="C4" s="4" t="s">
        <v>28</v>
      </c>
      <c r="E4" s="48" t="s">
        <v>29</v>
      </c>
      <c r="F4" s="48"/>
      <c r="G4" s="48"/>
      <c r="H4" s="48"/>
      <c r="I4" s="48"/>
      <c r="J4" s="5" t="s">
        <v>30</v>
      </c>
    </row>
    <row r="6" spans="2:17" x14ac:dyDescent="0.3">
      <c r="B6" s="42" t="s">
        <v>31</v>
      </c>
      <c r="C6" s="42"/>
      <c r="D6" s="42"/>
      <c r="E6" s="42"/>
      <c r="F6" s="42"/>
      <c r="G6" s="42"/>
      <c r="H6" s="42"/>
      <c r="I6" s="42"/>
      <c r="J6" s="42"/>
      <c r="K6" s="42"/>
      <c r="L6" s="42"/>
      <c r="M6" s="42"/>
      <c r="N6" s="42"/>
      <c r="O6" s="42"/>
      <c r="P6" s="42"/>
    </row>
    <row r="7" spans="2:17" ht="42" customHeight="1" x14ac:dyDescent="0.3">
      <c r="B7" s="6" t="s">
        <v>32</v>
      </c>
      <c r="C7" s="6" t="s">
        <v>33</v>
      </c>
      <c r="D7" s="6" t="s">
        <v>34</v>
      </c>
      <c r="E7" s="6" t="s">
        <v>35</v>
      </c>
      <c r="F7" s="6" t="s">
        <v>36</v>
      </c>
      <c r="G7" s="6" t="s">
        <v>37</v>
      </c>
      <c r="H7" s="6" t="s">
        <v>38</v>
      </c>
      <c r="I7" s="6" t="s">
        <v>39</v>
      </c>
      <c r="J7" s="6" t="s">
        <v>40</v>
      </c>
      <c r="K7" s="6" t="s">
        <v>41</v>
      </c>
      <c r="L7" s="6" t="s">
        <v>42</v>
      </c>
      <c r="M7" s="6" t="s">
        <v>43</v>
      </c>
      <c r="N7" s="6" t="s">
        <v>44</v>
      </c>
      <c r="O7" s="6" t="s">
        <v>45</v>
      </c>
      <c r="P7" s="6" t="s">
        <v>46</v>
      </c>
      <c r="Q7" s="6" t="s">
        <v>47</v>
      </c>
    </row>
    <row r="8" spans="2:17" x14ac:dyDescent="0.3">
      <c r="B8" s="7" t="s">
        <v>48</v>
      </c>
      <c r="C8" s="8">
        <v>0</v>
      </c>
      <c r="D8" s="9"/>
      <c r="E8" s="10"/>
      <c r="F8" s="8">
        <v>0</v>
      </c>
      <c r="G8" s="8">
        <v>0</v>
      </c>
      <c r="H8" s="8">
        <v>0</v>
      </c>
      <c r="I8" s="10"/>
      <c r="J8" s="10">
        <v>0</v>
      </c>
      <c r="K8" s="10">
        <v>0</v>
      </c>
      <c r="L8" s="9"/>
      <c r="M8" s="9"/>
      <c r="N8" s="8">
        <v>0</v>
      </c>
      <c r="O8" s="10">
        <v>0</v>
      </c>
      <c r="P8" s="10">
        <v>0</v>
      </c>
      <c r="Q8" s="8">
        <v>0</v>
      </c>
    </row>
    <row r="9" spans="2:17" x14ac:dyDescent="0.3">
      <c r="B9" s="7" t="s">
        <v>49</v>
      </c>
      <c r="C9" s="8">
        <v>4</v>
      </c>
      <c r="D9" s="9">
        <v>240000</v>
      </c>
      <c r="E9" s="10">
        <v>0</v>
      </c>
      <c r="F9" s="8">
        <v>30</v>
      </c>
      <c r="G9" s="8">
        <v>15</v>
      </c>
      <c r="H9" s="8">
        <v>-5</v>
      </c>
      <c r="I9" s="10">
        <v>0</v>
      </c>
      <c r="J9" s="10">
        <v>0</v>
      </c>
      <c r="K9" s="10">
        <v>0</v>
      </c>
      <c r="L9" s="9"/>
      <c r="M9" s="9">
        <v>0</v>
      </c>
      <c r="N9" s="8">
        <v>0</v>
      </c>
      <c r="O9" s="10">
        <v>0</v>
      </c>
      <c r="P9" s="10">
        <v>0</v>
      </c>
      <c r="Q9" s="8">
        <v>11</v>
      </c>
    </row>
    <row r="10" spans="2:17" x14ac:dyDescent="0.3">
      <c r="B10" s="7" t="s">
        <v>50</v>
      </c>
      <c r="C10" s="8">
        <v>15</v>
      </c>
      <c r="D10" s="9">
        <v>240000</v>
      </c>
      <c r="E10" s="10">
        <v>0</v>
      </c>
      <c r="F10" s="8">
        <v>30</v>
      </c>
      <c r="G10" s="8">
        <v>7</v>
      </c>
      <c r="H10" s="8">
        <v>-2</v>
      </c>
      <c r="I10" s="10">
        <v>0</v>
      </c>
      <c r="J10" s="10">
        <v>0</v>
      </c>
      <c r="K10" s="10">
        <v>0</v>
      </c>
      <c r="L10" s="9"/>
      <c r="M10" s="9">
        <v>0</v>
      </c>
      <c r="N10" s="8">
        <v>0</v>
      </c>
      <c r="O10" s="10">
        <v>0</v>
      </c>
      <c r="P10" s="10">
        <v>0</v>
      </c>
      <c r="Q10" s="8">
        <v>8</v>
      </c>
    </row>
    <row r="11" spans="2:17" x14ac:dyDescent="0.3">
      <c r="B11" s="7" t="s">
        <v>51</v>
      </c>
      <c r="C11" s="8">
        <v>23</v>
      </c>
      <c r="D11" s="9">
        <v>217000</v>
      </c>
      <c r="E11" s="10">
        <v>0</v>
      </c>
      <c r="F11" s="8">
        <v>33</v>
      </c>
      <c r="G11" s="8">
        <v>7</v>
      </c>
      <c r="H11" s="8">
        <v>-2</v>
      </c>
      <c r="I11" s="10">
        <v>0</v>
      </c>
      <c r="J11" s="10">
        <v>0</v>
      </c>
      <c r="K11" s="10">
        <v>0</v>
      </c>
      <c r="L11" s="9"/>
      <c r="M11" s="9">
        <v>0</v>
      </c>
      <c r="N11" s="8">
        <v>0</v>
      </c>
      <c r="O11" s="10">
        <v>0</v>
      </c>
      <c r="P11" s="10">
        <v>0</v>
      </c>
      <c r="Q11" s="8">
        <v>3</v>
      </c>
    </row>
    <row r="12" spans="2:17" x14ac:dyDescent="0.3">
      <c r="B12" s="7" t="s">
        <v>52</v>
      </c>
      <c r="C12" s="8">
        <v>33</v>
      </c>
      <c r="D12" s="9">
        <v>217000</v>
      </c>
      <c r="E12" s="10">
        <v>0.2</v>
      </c>
      <c r="F12" s="8">
        <v>33</v>
      </c>
      <c r="G12" s="8">
        <v>0</v>
      </c>
      <c r="H12" s="8">
        <v>0</v>
      </c>
      <c r="I12" s="10">
        <v>0</v>
      </c>
      <c r="J12" s="10">
        <v>0</v>
      </c>
      <c r="K12" s="10">
        <v>0</v>
      </c>
      <c r="L12" s="9"/>
      <c r="M12" s="9">
        <v>100000</v>
      </c>
      <c r="N12" s="8">
        <v>5</v>
      </c>
      <c r="O12" s="10">
        <v>0.5</v>
      </c>
      <c r="P12" s="10">
        <v>-0.4</v>
      </c>
      <c r="Q12" s="8">
        <v>0</v>
      </c>
    </row>
    <row r="13" spans="2:17" x14ac:dyDescent="0.3">
      <c r="B13" s="7" t="s">
        <v>53</v>
      </c>
      <c r="C13" s="8">
        <v>34</v>
      </c>
      <c r="D13" s="9">
        <v>227000</v>
      </c>
      <c r="E13" s="10">
        <v>0.2</v>
      </c>
      <c r="F13" s="8">
        <v>34</v>
      </c>
      <c r="G13" s="8">
        <v>0</v>
      </c>
      <c r="H13" s="8">
        <v>0</v>
      </c>
      <c r="I13" s="10">
        <v>0</v>
      </c>
      <c r="J13" s="10">
        <v>0</v>
      </c>
      <c r="K13" s="10">
        <v>0</v>
      </c>
      <c r="L13" s="9"/>
      <c r="M13" s="9">
        <v>100000</v>
      </c>
      <c r="N13" s="8">
        <v>5</v>
      </c>
      <c r="O13" s="10">
        <v>0.5</v>
      </c>
      <c r="P13" s="10">
        <v>-0.4</v>
      </c>
      <c r="Q13" s="8">
        <v>0</v>
      </c>
    </row>
    <row r="14" spans="2:17" x14ac:dyDescent="0.3">
      <c r="B14" s="7" t="s">
        <v>54</v>
      </c>
      <c r="C14" s="8">
        <v>32</v>
      </c>
      <c r="D14" s="9">
        <v>232000</v>
      </c>
      <c r="E14" s="10">
        <v>0.2</v>
      </c>
      <c r="F14" s="8">
        <v>32</v>
      </c>
      <c r="G14" s="8">
        <v>0</v>
      </c>
      <c r="H14" s="8">
        <v>0</v>
      </c>
      <c r="I14" s="10">
        <v>0</v>
      </c>
      <c r="J14" s="10">
        <v>0</v>
      </c>
      <c r="K14" s="10">
        <v>0</v>
      </c>
      <c r="L14" s="9"/>
      <c r="M14" s="9">
        <v>100000</v>
      </c>
      <c r="N14" s="8">
        <v>5</v>
      </c>
      <c r="O14" s="10">
        <v>0.5</v>
      </c>
      <c r="P14" s="10">
        <v>-0.4</v>
      </c>
      <c r="Q14" s="8">
        <v>0</v>
      </c>
    </row>
    <row r="15" spans="2:17" x14ac:dyDescent="0.3">
      <c r="B15" s="7" t="s">
        <v>55</v>
      </c>
      <c r="C15" s="8">
        <v>31</v>
      </c>
      <c r="D15" s="9">
        <v>254000</v>
      </c>
      <c r="E15" s="10">
        <v>0.2</v>
      </c>
      <c r="F15" s="8">
        <v>32</v>
      </c>
      <c r="G15" s="8">
        <v>1</v>
      </c>
      <c r="H15" s="8">
        <v>0</v>
      </c>
      <c r="I15" s="10">
        <v>0</v>
      </c>
      <c r="J15" s="10">
        <v>0</v>
      </c>
      <c r="K15" s="10">
        <v>0</v>
      </c>
      <c r="L15" s="9"/>
      <c r="M15" s="9">
        <v>100000</v>
      </c>
      <c r="N15" s="8">
        <v>5</v>
      </c>
      <c r="O15" s="10">
        <v>0.5</v>
      </c>
      <c r="P15" s="10">
        <v>-0.4</v>
      </c>
      <c r="Q15" s="8">
        <v>0</v>
      </c>
    </row>
    <row r="16" spans="2:17" x14ac:dyDescent="0.3">
      <c r="B16" s="7" t="s">
        <v>56</v>
      </c>
      <c r="C16" s="8">
        <v>31</v>
      </c>
      <c r="D16" s="9">
        <v>270000</v>
      </c>
      <c r="E16" s="10">
        <v>0.2</v>
      </c>
      <c r="F16" s="8">
        <v>32</v>
      </c>
      <c r="G16" s="8">
        <v>1</v>
      </c>
      <c r="H16" s="8">
        <v>0</v>
      </c>
      <c r="I16" s="10">
        <v>0.2</v>
      </c>
      <c r="J16" s="10">
        <v>-0.1</v>
      </c>
      <c r="K16" s="10">
        <v>0.1</v>
      </c>
      <c r="L16" s="9">
        <v>0</v>
      </c>
      <c r="M16" s="9">
        <v>100000</v>
      </c>
      <c r="N16" s="8">
        <v>3</v>
      </c>
      <c r="O16" s="10">
        <v>0.5</v>
      </c>
      <c r="P16" s="10">
        <v>-0.4</v>
      </c>
      <c r="Q16" s="8">
        <v>0</v>
      </c>
    </row>
    <row r="17" spans="2:17" x14ac:dyDescent="0.3">
      <c r="B17" s="7" t="s">
        <v>57</v>
      </c>
      <c r="C17" s="8">
        <v>27</v>
      </c>
      <c r="D17" s="9">
        <v>288000</v>
      </c>
      <c r="E17" s="10">
        <v>0.2</v>
      </c>
      <c r="F17" s="8">
        <v>30</v>
      </c>
      <c r="G17" s="8">
        <v>2</v>
      </c>
      <c r="H17" s="8">
        <v>-1</v>
      </c>
      <c r="I17" s="10">
        <v>0.2</v>
      </c>
      <c r="J17" s="10">
        <v>-0.1</v>
      </c>
      <c r="K17" s="10">
        <v>0.1</v>
      </c>
      <c r="L17" s="9">
        <v>0</v>
      </c>
      <c r="M17" s="9">
        <v>100000</v>
      </c>
      <c r="N17" s="8">
        <v>2</v>
      </c>
      <c r="O17" s="10">
        <v>0.5</v>
      </c>
      <c r="P17" s="10">
        <v>-0.4</v>
      </c>
      <c r="Q17" s="8">
        <v>1</v>
      </c>
    </row>
    <row r="18" spans="2:17" x14ac:dyDescent="0.3">
      <c r="B18" s="7" t="s">
        <v>58</v>
      </c>
      <c r="C18" s="8">
        <v>25</v>
      </c>
      <c r="D18" s="9">
        <v>304000</v>
      </c>
      <c r="E18" s="10">
        <v>0.2</v>
      </c>
      <c r="F18" s="8">
        <v>30</v>
      </c>
      <c r="G18" s="8">
        <v>3</v>
      </c>
      <c r="H18" s="8">
        <v>-1</v>
      </c>
      <c r="I18" s="10">
        <v>0.3</v>
      </c>
      <c r="J18" s="10">
        <v>-0.1</v>
      </c>
      <c r="K18" s="10">
        <v>0.1</v>
      </c>
      <c r="L18" s="9">
        <v>0</v>
      </c>
      <c r="M18" s="9">
        <v>100000</v>
      </c>
      <c r="N18" s="8">
        <v>2</v>
      </c>
      <c r="O18" s="10">
        <v>0.5</v>
      </c>
      <c r="P18" s="10">
        <v>-0.4</v>
      </c>
      <c r="Q18" s="8">
        <v>2</v>
      </c>
    </row>
    <row r="19" spans="2:17" x14ac:dyDescent="0.3">
      <c r="B19" s="7" t="s">
        <v>59</v>
      </c>
      <c r="C19" s="8">
        <v>26</v>
      </c>
      <c r="D19" s="9">
        <v>319000</v>
      </c>
      <c r="E19" s="10">
        <v>0.2</v>
      </c>
      <c r="F19" s="8">
        <v>30</v>
      </c>
      <c r="G19" s="8">
        <v>3</v>
      </c>
      <c r="H19" s="8">
        <v>-1</v>
      </c>
      <c r="I19" s="10">
        <v>0.3</v>
      </c>
      <c r="J19" s="10">
        <v>-0.1</v>
      </c>
      <c r="K19" s="10">
        <v>0.1</v>
      </c>
      <c r="L19" s="9">
        <v>0</v>
      </c>
      <c r="M19" s="9">
        <v>100000</v>
      </c>
      <c r="N19" s="8">
        <v>1</v>
      </c>
      <c r="O19" s="10">
        <v>0.5</v>
      </c>
      <c r="P19" s="10">
        <v>-0.4</v>
      </c>
      <c r="Q19" s="8">
        <v>1</v>
      </c>
    </row>
    <row r="20" spans="2:17" x14ac:dyDescent="0.3">
      <c r="B20" s="7" t="s">
        <v>60</v>
      </c>
      <c r="C20" s="8">
        <v>30</v>
      </c>
      <c r="D20" s="9">
        <v>332000</v>
      </c>
      <c r="E20" s="10">
        <v>0.2</v>
      </c>
      <c r="F20" s="8">
        <v>30</v>
      </c>
      <c r="G20" s="8">
        <v>0</v>
      </c>
      <c r="H20" s="8">
        <v>0</v>
      </c>
      <c r="I20" s="10">
        <v>0.2</v>
      </c>
      <c r="J20" s="10">
        <v>-0.1</v>
      </c>
      <c r="K20" s="10">
        <v>0.1</v>
      </c>
      <c r="L20" s="9">
        <v>0</v>
      </c>
      <c r="M20" s="9">
        <v>100000</v>
      </c>
      <c r="N20" s="8">
        <v>0</v>
      </c>
      <c r="O20" s="10">
        <v>0</v>
      </c>
      <c r="P20" s="10">
        <v>0</v>
      </c>
      <c r="Q20" s="8">
        <v>0</v>
      </c>
    </row>
    <row r="21" spans="2:17" x14ac:dyDescent="0.3">
      <c r="B21" s="7" t="s">
        <v>61</v>
      </c>
      <c r="C21" s="8">
        <v>26</v>
      </c>
      <c r="D21" s="9">
        <v>294000</v>
      </c>
      <c r="E21" s="10">
        <v>0.2</v>
      </c>
      <c r="F21" s="8">
        <v>60</v>
      </c>
      <c r="G21" s="8">
        <v>10</v>
      </c>
      <c r="H21" s="8">
        <v>-3</v>
      </c>
      <c r="I21" s="10">
        <v>0.1</v>
      </c>
      <c r="J21" s="10">
        <v>-0.1</v>
      </c>
      <c r="K21" s="10">
        <v>0.1</v>
      </c>
      <c r="L21" s="9">
        <v>0</v>
      </c>
      <c r="M21" s="9">
        <v>0</v>
      </c>
      <c r="N21" s="8">
        <v>0</v>
      </c>
      <c r="O21" s="10">
        <v>0</v>
      </c>
      <c r="P21" s="10">
        <v>0</v>
      </c>
      <c r="Q21" s="8">
        <v>24</v>
      </c>
    </row>
    <row r="22" spans="2:17" x14ac:dyDescent="0.3">
      <c r="B22" s="7" t="s">
        <v>62</v>
      </c>
      <c r="C22" s="8">
        <v>29</v>
      </c>
      <c r="D22" s="9">
        <v>306000</v>
      </c>
      <c r="E22" s="10">
        <v>0.2</v>
      </c>
      <c r="F22" s="8">
        <v>30</v>
      </c>
      <c r="G22" s="8">
        <v>0</v>
      </c>
      <c r="H22" s="8">
        <v>0</v>
      </c>
      <c r="I22" s="10">
        <v>0</v>
      </c>
      <c r="J22" s="10">
        <v>0</v>
      </c>
      <c r="K22" s="10">
        <v>0</v>
      </c>
      <c r="L22" s="9"/>
      <c r="M22" s="9">
        <v>100000</v>
      </c>
      <c r="N22" s="8">
        <v>0</v>
      </c>
      <c r="O22" s="10">
        <v>0</v>
      </c>
      <c r="P22" s="10">
        <v>0</v>
      </c>
      <c r="Q22" s="8">
        <v>1</v>
      </c>
    </row>
    <row r="23" spans="2:17" x14ac:dyDescent="0.3">
      <c r="B23" s="11" t="s">
        <v>63</v>
      </c>
      <c r="C23" s="12">
        <f>SUM(C8:C22)</f>
        <v>366</v>
      </c>
      <c r="D23" s="13"/>
      <c r="E23" s="13"/>
      <c r="F23" s="12">
        <f>SUM(F8:F22)</f>
        <v>466</v>
      </c>
      <c r="G23" s="12">
        <f>SUM(G8:G22)</f>
        <v>49</v>
      </c>
      <c r="H23" s="12">
        <f>SUM(H8:H22)</f>
        <v>-15</v>
      </c>
      <c r="I23" s="13"/>
      <c r="J23" s="13"/>
      <c r="K23" s="13"/>
      <c r="L23" s="13"/>
      <c r="M23" s="13"/>
      <c r="N23" s="12">
        <f>SUM(N8:N22)</f>
        <v>28</v>
      </c>
      <c r="O23" s="13"/>
      <c r="P23" s="13"/>
      <c r="Q23" s="12">
        <f>SUM(Q8:Q22)</f>
        <v>51</v>
      </c>
    </row>
    <row r="25" spans="2:17" x14ac:dyDescent="0.3">
      <c r="B25" s="42" t="s">
        <v>64</v>
      </c>
      <c r="C25" s="42"/>
      <c r="D25" s="42"/>
      <c r="E25" s="42"/>
      <c r="F25" s="42"/>
      <c r="G25" s="42"/>
      <c r="H25" s="42"/>
      <c r="I25" s="42"/>
      <c r="J25" s="42"/>
      <c r="K25" s="42"/>
      <c r="L25" s="42"/>
      <c r="M25" s="42"/>
      <c r="N25" s="42"/>
      <c r="O25" s="42"/>
      <c r="P25" s="42"/>
    </row>
    <row r="26" spans="2:17" x14ac:dyDescent="0.3">
      <c r="B26" s="14" t="s">
        <v>65</v>
      </c>
      <c r="C26" s="14" t="s">
        <v>66</v>
      </c>
    </row>
    <row r="27" spans="2:17" x14ac:dyDescent="0.3">
      <c r="B27" s="15" t="s">
        <v>67</v>
      </c>
      <c r="C27" s="16">
        <f>73000000+3000000</f>
        <v>76000000</v>
      </c>
    </row>
    <row r="28" spans="2:17" x14ac:dyDescent="0.3">
      <c r="B28" s="15" t="s">
        <v>68</v>
      </c>
      <c r="C28" s="16">
        <v>3300000</v>
      </c>
    </row>
    <row r="29" spans="2:17" x14ac:dyDescent="0.3">
      <c r="B29" s="15" t="s">
        <v>69</v>
      </c>
      <c r="C29" s="16">
        <f>42%*C27</f>
        <v>31920000</v>
      </c>
    </row>
    <row r="30" spans="2:17" x14ac:dyDescent="0.3">
      <c r="B30" s="15" t="s">
        <v>70</v>
      </c>
      <c r="C30" s="16">
        <v>1069196</v>
      </c>
    </row>
    <row r="31" spans="2:17" x14ac:dyDescent="0.3">
      <c r="B31" s="15" t="s">
        <v>71</v>
      </c>
      <c r="C31" s="16">
        <v>2500000</v>
      </c>
    </row>
    <row r="32" spans="2:17" x14ac:dyDescent="0.3">
      <c r="B32" s="15" t="s">
        <v>72</v>
      </c>
      <c r="C32" s="16"/>
      <c r="D32">
        <v>18263635.599999998</v>
      </c>
    </row>
    <row r="33" spans="2:16" x14ac:dyDescent="0.3">
      <c r="B33" s="15" t="s">
        <v>73</v>
      </c>
      <c r="C33" s="16">
        <v>5000000</v>
      </c>
    </row>
    <row r="34" spans="2:16" x14ac:dyDescent="0.3">
      <c r="B34" s="15" t="s">
        <v>74</v>
      </c>
      <c r="C34" s="16">
        <v>2500000</v>
      </c>
    </row>
    <row r="35" spans="2:16" x14ac:dyDescent="0.3">
      <c r="B35" s="15" t="s">
        <v>75</v>
      </c>
      <c r="C35" s="16">
        <v>4200000</v>
      </c>
    </row>
    <row r="36" spans="2:16" x14ac:dyDescent="0.3">
      <c r="B36" s="15" t="s">
        <v>76</v>
      </c>
      <c r="C36" s="16"/>
      <c r="D36" s="38"/>
    </row>
    <row r="37" spans="2:16" x14ac:dyDescent="0.3">
      <c r="B37" s="17" t="s">
        <v>77</v>
      </c>
      <c r="C37" s="18">
        <f>SUM(C27:C36)</f>
        <v>126489196</v>
      </c>
    </row>
    <row r="39" spans="2:16" x14ac:dyDescent="0.3">
      <c r="B39" s="42" t="s">
        <v>78</v>
      </c>
      <c r="C39" s="42"/>
      <c r="D39" s="42"/>
      <c r="E39" s="42"/>
      <c r="F39" s="42"/>
      <c r="G39" s="42"/>
      <c r="H39" s="42"/>
      <c r="I39" s="42"/>
      <c r="J39" s="42"/>
      <c r="K39" s="42"/>
      <c r="L39" s="42"/>
      <c r="M39" s="42"/>
      <c r="N39" s="42"/>
      <c r="O39" s="42"/>
      <c r="P39" s="42"/>
    </row>
    <row r="40" spans="2:16" ht="61.5" customHeight="1" x14ac:dyDescent="0.3">
      <c r="B40" s="49" t="s">
        <v>79</v>
      </c>
      <c r="C40" s="49"/>
      <c r="D40" s="49"/>
      <c r="E40" s="49"/>
      <c r="F40" s="49"/>
      <c r="G40" s="49"/>
      <c r="H40" s="49"/>
      <c r="I40" s="49"/>
      <c r="J40" s="49"/>
      <c r="K40" s="49"/>
      <c r="L40" s="49"/>
      <c r="M40" s="49"/>
      <c r="N40" s="49"/>
      <c r="O40" s="49"/>
      <c r="P40" s="49"/>
    </row>
    <row r="41" spans="2:16" ht="33.75" customHeight="1" x14ac:dyDescent="0.3">
      <c r="B41" s="19" t="s">
        <v>80</v>
      </c>
      <c r="C41" s="19" t="s">
        <v>81</v>
      </c>
      <c r="D41" s="19" t="s">
        <v>82</v>
      </c>
      <c r="E41" s="19" t="s">
        <v>83</v>
      </c>
      <c r="F41" s="19" t="s">
        <v>84</v>
      </c>
      <c r="G41" s="19" t="s">
        <v>85</v>
      </c>
    </row>
    <row r="42" spans="2:16" x14ac:dyDescent="0.3">
      <c r="B42" s="7" t="s">
        <v>86</v>
      </c>
      <c r="C42" s="10">
        <v>0.92</v>
      </c>
      <c r="D42" s="10">
        <v>0.03</v>
      </c>
      <c r="E42" s="20">
        <v>1</v>
      </c>
      <c r="F42" s="20">
        <v>1</v>
      </c>
      <c r="G42" s="20">
        <v>1</v>
      </c>
    </row>
    <row r="43" spans="2:16" x14ac:dyDescent="0.3">
      <c r="B43" s="7" t="s">
        <v>28</v>
      </c>
      <c r="C43" s="10">
        <v>0.97</v>
      </c>
      <c r="D43" s="10">
        <v>0</v>
      </c>
      <c r="E43" s="20">
        <v>1</v>
      </c>
      <c r="F43" s="21">
        <v>1</v>
      </c>
      <c r="G43" s="21">
        <v>1</v>
      </c>
    </row>
    <row r="44" spans="2:16" x14ac:dyDescent="0.3">
      <c r="B44" s="7" t="s">
        <v>87</v>
      </c>
      <c r="C44" s="10">
        <v>0.99</v>
      </c>
      <c r="D44" s="10">
        <v>-0.02</v>
      </c>
      <c r="E44" s="20">
        <v>1</v>
      </c>
      <c r="F44" s="20">
        <v>1</v>
      </c>
      <c r="G44" s="20">
        <v>1</v>
      </c>
    </row>
    <row r="46" spans="2:16" x14ac:dyDescent="0.3">
      <c r="B46" s="42" t="s">
        <v>88</v>
      </c>
      <c r="C46" s="42"/>
      <c r="D46" s="42"/>
      <c r="E46" s="42"/>
      <c r="F46" s="42"/>
      <c r="G46" s="42"/>
      <c r="H46" s="42"/>
      <c r="I46" s="42"/>
      <c r="J46" s="42"/>
      <c r="K46" s="42"/>
      <c r="L46" s="42"/>
      <c r="M46" s="42"/>
      <c r="N46" s="42"/>
      <c r="O46" s="42"/>
      <c r="P46" s="42"/>
    </row>
    <row r="47" spans="2:16" ht="27.75" customHeight="1" x14ac:dyDescent="0.3">
      <c r="B47" s="50" t="s">
        <v>89</v>
      </c>
      <c r="C47" s="50"/>
      <c r="D47" s="50"/>
      <c r="E47" s="50"/>
      <c r="F47" s="22">
        <v>0</v>
      </c>
    </row>
    <row r="48" spans="2:16" ht="27.75" customHeight="1" x14ac:dyDescent="0.3">
      <c r="B48" s="50" t="s">
        <v>90</v>
      </c>
      <c r="C48" s="50"/>
      <c r="D48" s="50"/>
      <c r="E48" s="50"/>
      <c r="F48" s="22">
        <v>0</v>
      </c>
    </row>
    <row r="51" spans="2:16" x14ac:dyDescent="0.3">
      <c r="B51" s="42" t="s">
        <v>91</v>
      </c>
      <c r="C51" s="42"/>
      <c r="D51" s="42"/>
      <c r="E51" s="42"/>
      <c r="F51" s="42"/>
      <c r="G51" s="42"/>
      <c r="H51" s="42"/>
      <c r="I51" s="42"/>
      <c r="J51" s="42"/>
      <c r="K51" s="42"/>
      <c r="L51" s="42"/>
      <c r="M51" s="42"/>
      <c r="N51" s="42"/>
      <c r="O51" s="42"/>
      <c r="P51" s="42"/>
    </row>
    <row r="52" spans="2:16" ht="75.75" customHeight="1" x14ac:dyDescent="0.3">
      <c r="B52" s="49" t="s">
        <v>92</v>
      </c>
      <c r="C52" s="49"/>
      <c r="D52" s="49"/>
      <c r="E52" s="49"/>
      <c r="F52" s="49"/>
      <c r="G52" s="49"/>
      <c r="H52" s="49"/>
      <c r="I52" s="49"/>
      <c r="J52" s="49"/>
      <c r="K52" s="49"/>
      <c r="L52" s="49"/>
      <c r="M52" s="49"/>
      <c r="N52" s="49"/>
      <c r="O52" s="49"/>
      <c r="P52" s="49"/>
    </row>
    <row r="53" spans="2:16" x14ac:dyDescent="0.3">
      <c r="B53" s="48" t="s">
        <v>93</v>
      </c>
      <c r="C53" s="48"/>
      <c r="D53" s="48"/>
      <c r="E53" s="48"/>
      <c r="F53" s="23">
        <v>0.13</v>
      </c>
    </row>
    <row r="55" spans="2:16" ht="33.75" customHeight="1" x14ac:dyDescent="0.3">
      <c r="B55" s="6" t="s">
        <v>80</v>
      </c>
      <c r="C55" s="6" t="s">
        <v>94</v>
      </c>
    </row>
    <row r="56" spans="2:16" x14ac:dyDescent="0.3">
      <c r="B56" s="7" t="s">
        <v>86</v>
      </c>
      <c r="C56" s="24">
        <v>15</v>
      </c>
    </row>
    <row r="57" spans="2:16" x14ac:dyDescent="0.3">
      <c r="B57" s="7" t="s">
        <v>28</v>
      </c>
      <c r="C57" s="24">
        <v>30</v>
      </c>
    </row>
    <row r="58" spans="2:16" x14ac:dyDescent="0.3">
      <c r="B58" s="7" t="s">
        <v>87</v>
      </c>
      <c r="C58" s="24">
        <v>35</v>
      </c>
    </row>
  </sheetData>
  <mergeCells count="11">
    <mergeCell ref="B53:E53"/>
    <mergeCell ref="B46:P46"/>
    <mergeCell ref="B47:E47"/>
    <mergeCell ref="B48:E48"/>
    <mergeCell ref="B51:P51"/>
    <mergeCell ref="B52:P52"/>
    <mergeCell ref="E4:I4"/>
    <mergeCell ref="B6:P6"/>
    <mergeCell ref="B25:P25"/>
    <mergeCell ref="B39:P39"/>
    <mergeCell ref="B40:P40"/>
  </mergeCells>
  <dataValidations count="2">
    <dataValidation type="list" sqref="C4" xr:uid="{00000000-0002-0000-0100-000000000000}">
      <formula1>"Pessimistic,Realistic,Optimistic"</formula1>
      <formula2>0</formula2>
    </dataValidation>
    <dataValidation type="list" sqref="J4" xr:uid="{00000000-0002-0000-0100-000001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S53"/>
  <sheetViews>
    <sheetView showGridLines="0" zoomScaleNormal="100" workbookViewId="0">
      <pane xSplit="1" ySplit="4" topLeftCell="B5" activePane="bottomRight" state="frozen"/>
      <selection pane="topRight" activeCell="B1" sqref="B1"/>
      <selection pane="bottomLeft" activeCell="A5" sqref="A5"/>
      <selection pane="bottomRight" activeCell="C20" sqref="C20"/>
    </sheetView>
  </sheetViews>
  <sheetFormatPr defaultColWidth="8.6640625" defaultRowHeight="14.4" x14ac:dyDescent="0.3"/>
  <cols>
    <col min="2" max="2" width="30" customWidth="1"/>
    <col min="3" max="9" width="14" customWidth="1"/>
    <col min="10" max="10" width="12" customWidth="1"/>
    <col min="11" max="11" width="14" customWidth="1"/>
    <col min="12" max="13" width="3" customWidth="1"/>
    <col min="14" max="15" width="14" customWidth="1"/>
    <col min="16" max="16" width="3" customWidth="1"/>
    <col min="17" max="17" width="14" customWidth="1"/>
    <col min="18" max="19" width="3" customWidth="1"/>
  </cols>
  <sheetData>
    <row r="1" spans="2:19" ht="17.399999999999999" x14ac:dyDescent="0.3">
      <c r="B1" s="3" t="s">
        <v>95</v>
      </c>
    </row>
    <row r="2" spans="2:19" x14ac:dyDescent="0.3">
      <c r="B2" s="2" t="s">
        <v>96</v>
      </c>
    </row>
    <row r="4" spans="2:19" ht="15.6" x14ac:dyDescent="0.3">
      <c r="B4" s="1" t="s">
        <v>97</v>
      </c>
      <c r="C4" s="39" t="str">
        <f>Inputs!$C$4</f>
        <v>Realistic</v>
      </c>
      <c r="D4" s="39"/>
      <c r="E4" s="40" t="s">
        <v>98</v>
      </c>
      <c r="F4" s="40"/>
      <c r="G4" s="40"/>
      <c r="H4" s="40"/>
      <c r="I4" s="40"/>
      <c r="J4" s="40"/>
      <c r="K4" s="40"/>
    </row>
    <row r="6" spans="2:19" ht="25.5" customHeight="1" x14ac:dyDescent="0.3">
      <c r="B6" s="41" t="s">
        <v>99</v>
      </c>
      <c r="C6" s="41"/>
      <c r="D6" s="41"/>
      <c r="E6" s="41" t="s">
        <v>100</v>
      </c>
      <c r="F6" s="41"/>
      <c r="G6" s="41"/>
      <c r="H6" s="41" t="s">
        <v>101</v>
      </c>
      <c r="I6" s="41"/>
      <c r="J6" s="41"/>
      <c r="K6" s="41" t="s">
        <v>102</v>
      </c>
      <c r="L6" s="41"/>
      <c r="M6" s="41"/>
      <c r="N6" s="41" t="s">
        <v>103</v>
      </c>
      <c r="O6" s="41"/>
      <c r="P6" s="41"/>
      <c r="Q6" s="41" t="s">
        <v>104</v>
      </c>
      <c r="R6" s="41"/>
      <c r="S6" s="41"/>
    </row>
    <row r="7" spans="2:19" x14ac:dyDescent="0.3">
      <c r="B7" s="43">
        <f>CHOOSE(MATCH(Inputs!$C$4,{"Pessimistic","Realistic","Optimistic"},0),Calculations!C96,Calculations!D96,Calculations!E96)</f>
        <v>126505768.3</v>
      </c>
      <c r="C7" s="43"/>
      <c r="D7" s="43"/>
      <c r="E7" s="43">
        <f>CHOOSE(MATCH(Inputs!$C$4,{"Pessimistic","Realistic","Optimistic"},0),Calculations!C100,Calculations!D100,Calculations!E100)</f>
        <v>126489196</v>
      </c>
      <c r="F7" s="43"/>
      <c r="G7" s="43"/>
      <c r="H7" s="43">
        <f>CHOOSE(MATCH(Inputs!$C$4,{"Pessimistic","Realistic","Optimistic"},0),Calculations!C101,Calculations!D101,Calculations!E101)</f>
        <v>16572.29999999702</v>
      </c>
      <c r="I7" s="43"/>
      <c r="J7" s="43"/>
      <c r="K7" s="43">
        <f>CHOOSE(MATCH(Inputs!$C$4,{"Pessimistic","Realistic","Optimistic"},0),Calculations!C107,Calculations!D107,Calculations!E107)</f>
        <v>3898194</v>
      </c>
      <c r="L7" s="43"/>
      <c r="M7" s="43"/>
      <c r="N7" s="43">
        <f>CHOOSE(MATCH(Inputs!$C$4,{"Pessimistic","Realistic","Optimistic"},0),Calculations!C112,Calculations!D112,Calculations!E112)</f>
        <v>17251590</v>
      </c>
      <c r="O7" s="43"/>
      <c r="P7" s="43"/>
      <c r="Q7" s="43">
        <f>CHOOSE(MATCH(Inputs!$C$4,{"Pessimistic","Realistic","Optimistic"},0),Calculations!C117,Calculations!D117,Calculations!E117)</f>
        <v>0</v>
      </c>
      <c r="R7" s="43"/>
      <c r="S7" s="43"/>
    </row>
    <row r="8" spans="2:19" ht="21.75" customHeight="1" x14ac:dyDescent="0.3">
      <c r="B8" s="43"/>
      <c r="C8" s="43"/>
      <c r="D8" s="43"/>
      <c r="E8" s="43"/>
      <c r="F8" s="43"/>
      <c r="G8" s="43"/>
      <c r="H8" s="43"/>
      <c r="I8" s="43"/>
      <c r="J8" s="43"/>
      <c r="K8" s="43"/>
      <c r="L8" s="43"/>
      <c r="M8" s="43"/>
      <c r="N8" s="43"/>
      <c r="O8" s="43"/>
      <c r="P8" s="43"/>
      <c r="Q8" s="43"/>
      <c r="R8" s="43"/>
      <c r="S8" s="43"/>
    </row>
    <row r="11" spans="2:19" x14ac:dyDescent="0.3">
      <c r="B11" s="42" t="s">
        <v>105</v>
      </c>
      <c r="C11" s="42"/>
      <c r="D11" s="42"/>
      <c r="E11" s="42"/>
    </row>
    <row r="12" spans="2:19" x14ac:dyDescent="0.3">
      <c r="B12" s="25" t="s">
        <v>106</v>
      </c>
      <c r="C12" s="25" t="s">
        <v>86</v>
      </c>
      <c r="D12" s="25" t="s">
        <v>28</v>
      </c>
      <c r="E12" s="25" t="s">
        <v>87</v>
      </c>
    </row>
    <row r="13" spans="2:19" x14ac:dyDescent="0.3">
      <c r="B13" s="15" t="s">
        <v>107</v>
      </c>
      <c r="C13" s="26">
        <f>Calculations!C86</f>
        <v>34</v>
      </c>
      <c r="D13" s="26">
        <f>Calculations!D86</f>
        <v>49</v>
      </c>
      <c r="E13" s="26">
        <f>Calculations!E86</f>
        <v>100</v>
      </c>
    </row>
    <row r="14" spans="2:19" x14ac:dyDescent="0.3">
      <c r="B14" s="15" t="s">
        <v>108</v>
      </c>
      <c r="C14" s="26">
        <f>Calculations!C87</f>
        <v>45</v>
      </c>
      <c r="D14" s="26">
        <f>Calculations!D87</f>
        <v>28</v>
      </c>
      <c r="E14" s="26">
        <f>Calculations!E87</f>
        <v>17</v>
      </c>
    </row>
    <row r="15" spans="2:19" x14ac:dyDescent="0.3">
      <c r="B15" s="15" t="s">
        <v>109</v>
      </c>
      <c r="C15" s="26">
        <f>Calculations!C88</f>
        <v>17</v>
      </c>
      <c r="D15" s="26">
        <f>Calculations!D88</f>
        <v>28</v>
      </c>
      <c r="E15" s="26">
        <f>Calculations!E88</f>
        <v>17</v>
      </c>
    </row>
    <row r="16" spans="2:19" x14ac:dyDescent="0.3">
      <c r="B16" s="17" t="s">
        <v>110</v>
      </c>
      <c r="C16" s="27">
        <f>Calculations!C89</f>
        <v>28</v>
      </c>
      <c r="D16" s="27">
        <f>Calculations!D89</f>
        <v>0</v>
      </c>
      <c r="E16" s="27">
        <f>Calculations!E89</f>
        <v>0</v>
      </c>
    </row>
    <row r="17" spans="2:5" x14ac:dyDescent="0.3">
      <c r="B17" s="15" t="s">
        <v>111</v>
      </c>
      <c r="C17" s="26">
        <f>Calculations!C90</f>
        <v>372</v>
      </c>
      <c r="D17" s="26">
        <f>Calculations!D90</f>
        <v>415</v>
      </c>
      <c r="E17" s="26">
        <f>Calculations!E90</f>
        <v>466</v>
      </c>
    </row>
    <row r="18" spans="2:5" x14ac:dyDescent="0.3">
      <c r="B18" s="15" t="s">
        <v>112</v>
      </c>
      <c r="C18" s="28">
        <f>Calculations!C91</f>
        <v>116956730</v>
      </c>
      <c r="D18" s="28">
        <f>Calculations!D91</f>
        <v>129387390</v>
      </c>
      <c r="E18" s="28">
        <f>Calculations!E91</f>
        <v>145081330</v>
      </c>
    </row>
    <row r="19" spans="2:5" x14ac:dyDescent="0.3">
      <c r="B19" s="15" t="s">
        <v>113</v>
      </c>
      <c r="C19" s="28">
        <f>Calculations!C93</f>
        <v>107600191.60000001</v>
      </c>
      <c r="D19" s="28">
        <f>Calculations!D93</f>
        <v>125505768.3</v>
      </c>
      <c r="E19" s="28">
        <f>Calculations!E93</f>
        <v>143630516.69999999</v>
      </c>
    </row>
    <row r="20" spans="2:5" x14ac:dyDescent="0.3">
      <c r="B20" s="15" t="s">
        <v>114</v>
      </c>
      <c r="C20" s="28">
        <f>Calculations!C94</f>
        <v>0</v>
      </c>
      <c r="D20" s="28">
        <f>Calculations!D94</f>
        <v>0</v>
      </c>
      <c r="E20" s="28">
        <f>Calculations!E94</f>
        <v>0</v>
      </c>
    </row>
    <row r="21" spans="2:5" x14ac:dyDescent="0.3">
      <c r="B21" s="15" t="s">
        <v>115</v>
      </c>
      <c r="C21" s="28">
        <f>Calculations!C95</f>
        <v>700000</v>
      </c>
      <c r="D21" s="28">
        <f>Calculations!D95</f>
        <v>1000000</v>
      </c>
      <c r="E21" s="28">
        <f>Calculations!E95</f>
        <v>1500000</v>
      </c>
    </row>
    <row r="22" spans="2:5" x14ac:dyDescent="0.3">
      <c r="B22" s="17" t="s">
        <v>116</v>
      </c>
      <c r="C22" s="29">
        <f>Calculations!C96</f>
        <v>108300191.60000001</v>
      </c>
      <c r="D22" s="29">
        <f>Calculations!D96</f>
        <v>126505768.3</v>
      </c>
      <c r="E22" s="29">
        <f>Calculations!E96</f>
        <v>145130516.69999999</v>
      </c>
    </row>
    <row r="23" spans="2:5" x14ac:dyDescent="0.3">
      <c r="B23" s="17" t="s">
        <v>117</v>
      </c>
      <c r="C23" s="29">
        <f>Calculations!C100</f>
        <v>130283871.88000001</v>
      </c>
      <c r="D23" s="29">
        <f>Calculations!D100</f>
        <v>126489196</v>
      </c>
      <c r="E23" s="29">
        <f>Calculations!E100</f>
        <v>123959412.08</v>
      </c>
    </row>
    <row r="24" spans="2:5" x14ac:dyDescent="0.3">
      <c r="B24" s="17" t="s">
        <v>118</v>
      </c>
      <c r="C24" s="29">
        <f>Calculations!C101</f>
        <v>-21983680.280000001</v>
      </c>
      <c r="D24" s="29">
        <f>Calculations!D101</f>
        <v>16572.29999999702</v>
      </c>
      <c r="E24" s="29">
        <f>Calculations!E101</f>
        <v>21171104.61999999</v>
      </c>
    </row>
    <row r="25" spans="2:5" x14ac:dyDescent="0.3">
      <c r="B25" s="17" t="s">
        <v>119</v>
      </c>
      <c r="C25" s="29">
        <f>Calculations!C105</f>
        <v>117656730</v>
      </c>
      <c r="D25" s="29">
        <f>Calculations!D105</f>
        <v>130387390</v>
      </c>
      <c r="E25" s="29">
        <f>Calculations!E105</f>
        <v>146581330</v>
      </c>
    </row>
    <row r="26" spans="2:5" x14ac:dyDescent="0.3">
      <c r="B26" s="15" t="s">
        <v>120</v>
      </c>
      <c r="C26" s="28">
        <f>Calculations!C106</f>
        <v>130283871.88000001</v>
      </c>
      <c r="D26" s="28">
        <f>Calculations!D106</f>
        <v>126489196</v>
      </c>
      <c r="E26" s="28">
        <f>Calculations!E106</f>
        <v>123959412.08</v>
      </c>
    </row>
    <row r="27" spans="2:5" x14ac:dyDescent="0.3">
      <c r="B27" s="17" t="s">
        <v>121</v>
      </c>
      <c r="C27" s="29">
        <f>Calculations!C107</f>
        <v>-12627141.88000001</v>
      </c>
      <c r="D27" s="29">
        <f>Calculations!D107</f>
        <v>3898194</v>
      </c>
      <c r="E27" s="29">
        <f>Calculations!E107</f>
        <v>22621917.920000002</v>
      </c>
    </row>
    <row r="28" spans="2:5" x14ac:dyDescent="0.3">
      <c r="B28" s="15" t="s">
        <v>122</v>
      </c>
      <c r="C28" s="26">
        <f>Calculations!C109</f>
        <v>54</v>
      </c>
      <c r="D28" s="26">
        <f>Calculations!D109</f>
        <v>54</v>
      </c>
      <c r="E28" s="26">
        <f>Calculations!E109</f>
        <v>54</v>
      </c>
    </row>
    <row r="29" spans="2:5" x14ac:dyDescent="0.3">
      <c r="B29" s="17" t="s">
        <v>123</v>
      </c>
      <c r="C29" s="27">
        <f>Calculations!C110</f>
        <v>26</v>
      </c>
      <c r="D29" s="27">
        <f>Calculations!D110</f>
        <v>54</v>
      </c>
      <c r="E29" s="27">
        <f>Calculations!E110</f>
        <v>54</v>
      </c>
    </row>
    <row r="30" spans="2:5" x14ac:dyDescent="0.3">
      <c r="B30" s="15" t="s">
        <v>124</v>
      </c>
      <c r="C30" s="28">
        <f>Calculations!C111</f>
        <v>4792329.9999999991</v>
      </c>
      <c r="D30" s="28">
        <f>Calculations!D111</f>
        <v>7868190</v>
      </c>
      <c r="E30" s="28">
        <f>Calculations!E111</f>
        <v>4792329.9999999991</v>
      </c>
    </row>
    <row r="31" spans="2:5" x14ac:dyDescent="0.3">
      <c r="B31" s="17" t="s">
        <v>125</v>
      </c>
      <c r="C31" s="29">
        <f>Calculations!C112</f>
        <v>9086530</v>
      </c>
      <c r="D31" s="29">
        <f>Calculations!D112</f>
        <v>17251590</v>
      </c>
      <c r="E31" s="29">
        <f>Calculations!E112</f>
        <v>17442130</v>
      </c>
    </row>
    <row r="32" spans="2:5" x14ac:dyDescent="0.3">
      <c r="B32" s="17" t="s">
        <v>126</v>
      </c>
      <c r="C32" s="29">
        <f>Calculations!C117</f>
        <v>0</v>
      </c>
      <c r="D32" s="29">
        <f>Calculations!D117</f>
        <v>0</v>
      </c>
      <c r="E32" s="29">
        <f>Calculations!E117</f>
        <v>0</v>
      </c>
    </row>
    <row r="33" spans="2:10" x14ac:dyDescent="0.3">
      <c r="B33" s="17" t="s">
        <v>127</v>
      </c>
      <c r="C33" s="29">
        <f>Calculations!C118</f>
        <v>-21983680.280000001</v>
      </c>
      <c r="D33" s="29">
        <f>Calculations!D118</f>
        <v>16572.29999999702</v>
      </c>
      <c r="E33" s="29">
        <f>Calculations!E118</f>
        <v>21171104.61999999</v>
      </c>
    </row>
    <row r="36" spans="2:10" x14ac:dyDescent="0.3">
      <c r="B36" s="42" t="s">
        <v>128</v>
      </c>
      <c r="C36" s="42"/>
      <c r="D36" s="42"/>
      <c r="E36" s="42"/>
      <c r="F36" s="42"/>
      <c r="G36" s="42"/>
      <c r="H36" s="42"/>
      <c r="I36" s="42"/>
      <c r="J36" s="42"/>
    </row>
    <row r="37" spans="2:10" ht="27.75" customHeight="1" x14ac:dyDescent="0.3">
      <c r="B37" s="6" t="s">
        <v>32</v>
      </c>
      <c r="C37" s="6" t="s">
        <v>33</v>
      </c>
      <c r="D37" s="6" t="s">
        <v>129</v>
      </c>
      <c r="E37" s="6" t="s">
        <v>130</v>
      </c>
      <c r="F37" s="6" t="s">
        <v>131</v>
      </c>
      <c r="G37" s="6" t="s">
        <v>132</v>
      </c>
      <c r="H37" s="6" t="s">
        <v>133</v>
      </c>
      <c r="I37" s="6" t="s">
        <v>134</v>
      </c>
      <c r="J37" s="6" t="s">
        <v>135</v>
      </c>
    </row>
    <row r="38" spans="2:10" x14ac:dyDescent="0.3">
      <c r="B38" s="30" t="str">
        <f>CHOOSE(MATCH(Inputs!$C$4,{"Pessimistic","Realistic","Optimistic"},0),Calculations!B6,Calculations!B26,Calculations!B46)</f>
        <v>Pre-KG</v>
      </c>
      <c r="C38" s="26">
        <f>CHOOSE(MATCH(Inputs!$C$4,{"Pessimistic","Realistic","Optimistic"},0),Calculations!C6,Calculations!C26,Calculations!C46)</f>
        <v>0</v>
      </c>
      <c r="D38" s="26">
        <f>CHOOSE(MATCH(Inputs!$C$4,{"Pessimistic","Realistic","Optimistic"},0),Calculations!D6,Calculations!D26,Calculations!D46)</f>
        <v>0</v>
      </c>
      <c r="E38" s="26">
        <f>CHOOSE(MATCH(Inputs!$C$4,{"Pessimistic","Realistic","Optimistic"},0),Calculations!E6,Calculations!E26,Calculations!E46)</f>
        <v>0</v>
      </c>
      <c r="F38" s="28">
        <f>CHOOSE(MATCH(Inputs!$C$4,{"Pessimistic","Realistic","Optimistic"},0),Calculations!F6,Calculations!F26,Calculations!F46)</f>
        <v>0</v>
      </c>
      <c r="G38" s="31">
        <f>CHOOSE(MATCH(Inputs!$C$4,{"Pessimistic","Realistic","Optimistic"},0),Calculations!G6,Calculations!G26,Calculations!G46)</f>
        <v>0</v>
      </c>
      <c r="H38" s="28">
        <f>CHOOSE(MATCH(Inputs!$C$4,{"Pessimistic","Realistic","Optimistic"},0),Calculations!H6,Calculations!H26,Calculations!H46)</f>
        <v>0</v>
      </c>
      <c r="I38" s="28">
        <f>CHOOSE(MATCH(Inputs!$C$4,{"Pessimistic","Realistic","Optimistic"},0),Calculations!I6,Calculations!I26,Calculations!I46)</f>
        <v>0</v>
      </c>
      <c r="J38" s="26">
        <f>CHOOSE(MATCH(Inputs!$C$4,{"Pessimistic","Realistic","Optimistic"},0),Calculations!L6,Calculations!L26,Calculations!L46)</f>
        <v>0</v>
      </c>
    </row>
    <row r="39" spans="2:10" x14ac:dyDescent="0.3">
      <c r="B39" s="30" t="str">
        <f>CHOOSE(MATCH(Inputs!$C$4,{"Pessimistic","Realistic","Optimistic"},0),Calculations!B7,Calculations!B27,Calculations!B47)</f>
        <v>LKG</v>
      </c>
      <c r="C39" s="26">
        <f>CHOOSE(MATCH(Inputs!$C$4,{"Pessimistic","Realistic","Optimistic"},0),Calculations!C7,Calculations!C27,Calculations!C47)</f>
        <v>4</v>
      </c>
      <c r="D39" s="26">
        <f>CHOOSE(MATCH(Inputs!$C$4,{"Pessimistic","Realistic","Optimistic"},0),Calculations!D7,Calculations!D27,Calculations!D47)</f>
        <v>15</v>
      </c>
      <c r="E39" s="26">
        <f>CHOOSE(MATCH(Inputs!$C$4,{"Pessimistic","Realistic","Optimistic"},0),Calculations!E7,Calculations!E27,Calculations!E47)</f>
        <v>19</v>
      </c>
      <c r="F39" s="28">
        <f>CHOOSE(MATCH(Inputs!$C$4,{"Pessimistic","Realistic","Optimistic"},0),Calculations!F7,Calculations!F27,Calculations!F47)</f>
        <v>4560000</v>
      </c>
      <c r="G39" s="31">
        <f>CHOOSE(MATCH(Inputs!$C$4,{"Pessimistic","Realistic","Optimistic"},0),Calculations!G7,Calculations!G27,Calculations!G47)</f>
        <v>0</v>
      </c>
      <c r="H39" s="28">
        <f>CHOOSE(MATCH(Inputs!$C$4,{"Pessimistic","Realistic","Optimistic"},0),Calculations!H7,Calculations!H27,Calculations!H47)</f>
        <v>0</v>
      </c>
      <c r="I39" s="28">
        <f>CHOOSE(MATCH(Inputs!$C$4,{"Pessimistic","Realistic","Optimistic"},0),Calculations!I7,Calculations!I27,Calculations!I47)</f>
        <v>0</v>
      </c>
      <c r="J39" s="26">
        <f>CHOOSE(MATCH(Inputs!$C$4,{"Pessimistic","Realistic","Optimistic"},0),Calculations!L7,Calculations!L27,Calculations!L47)</f>
        <v>0</v>
      </c>
    </row>
    <row r="40" spans="2:10" x14ac:dyDescent="0.3">
      <c r="B40" s="30" t="str">
        <f>CHOOSE(MATCH(Inputs!$C$4,{"Pessimistic","Realistic","Optimistic"},0),Calculations!B8,Calculations!B28,Calculations!B48)</f>
        <v>UKG</v>
      </c>
      <c r="C40" s="26">
        <f>CHOOSE(MATCH(Inputs!$C$4,{"Pessimistic","Realistic","Optimistic"},0),Calculations!C8,Calculations!C28,Calculations!C48)</f>
        <v>15</v>
      </c>
      <c r="D40" s="26">
        <f>CHOOSE(MATCH(Inputs!$C$4,{"Pessimistic","Realistic","Optimistic"},0),Calculations!D8,Calculations!D28,Calculations!D48)</f>
        <v>7</v>
      </c>
      <c r="E40" s="26">
        <f>CHOOSE(MATCH(Inputs!$C$4,{"Pessimistic","Realistic","Optimistic"},0),Calculations!E8,Calculations!E28,Calculations!E48)</f>
        <v>22</v>
      </c>
      <c r="F40" s="28">
        <f>CHOOSE(MATCH(Inputs!$C$4,{"Pessimistic","Realistic","Optimistic"},0),Calculations!F8,Calculations!F28,Calculations!F48)</f>
        <v>5280000</v>
      </c>
      <c r="G40" s="31">
        <f>CHOOSE(MATCH(Inputs!$C$4,{"Pessimistic","Realistic","Optimistic"},0),Calculations!G8,Calculations!G28,Calculations!G48)</f>
        <v>0</v>
      </c>
      <c r="H40" s="28">
        <f>CHOOSE(MATCH(Inputs!$C$4,{"Pessimistic","Realistic","Optimistic"},0),Calculations!H8,Calculations!H28,Calculations!H48)</f>
        <v>0</v>
      </c>
      <c r="I40" s="28">
        <f>CHOOSE(MATCH(Inputs!$C$4,{"Pessimistic","Realistic","Optimistic"},0),Calculations!I8,Calculations!I28,Calculations!I48)</f>
        <v>0</v>
      </c>
      <c r="J40" s="26">
        <f>CHOOSE(MATCH(Inputs!$C$4,{"Pessimistic","Realistic","Optimistic"},0),Calculations!L8,Calculations!L28,Calculations!L48)</f>
        <v>0</v>
      </c>
    </row>
    <row r="41" spans="2:10" x14ac:dyDescent="0.3">
      <c r="B41" s="30" t="str">
        <f>CHOOSE(MATCH(Inputs!$C$4,{"Pessimistic","Realistic","Optimistic"},0),Calculations!B9,Calculations!B29,Calculations!B49)</f>
        <v>I</v>
      </c>
      <c r="C41" s="26">
        <f>CHOOSE(MATCH(Inputs!$C$4,{"Pessimistic","Realistic","Optimistic"},0),Calculations!C9,Calculations!C29,Calculations!C49)</f>
        <v>23</v>
      </c>
      <c r="D41" s="26">
        <f>CHOOSE(MATCH(Inputs!$C$4,{"Pessimistic","Realistic","Optimistic"},0),Calculations!D9,Calculations!D29,Calculations!D49)</f>
        <v>7</v>
      </c>
      <c r="E41" s="26">
        <f>CHOOSE(MATCH(Inputs!$C$4,{"Pessimistic","Realistic","Optimistic"},0),Calculations!E9,Calculations!E29,Calculations!E49)</f>
        <v>30</v>
      </c>
      <c r="F41" s="28">
        <f>CHOOSE(MATCH(Inputs!$C$4,{"Pessimistic","Realistic","Optimistic"},0),Calculations!F9,Calculations!F29,Calculations!F49)</f>
        <v>6510000</v>
      </c>
      <c r="G41" s="31">
        <f>CHOOSE(MATCH(Inputs!$C$4,{"Pessimistic","Realistic","Optimistic"},0),Calculations!G9,Calculations!G29,Calculations!G49)</f>
        <v>0</v>
      </c>
      <c r="H41" s="28">
        <f>CHOOSE(MATCH(Inputs!$C$4,{"Pessimistic","Realistic","Optimistic"},0),Calculations!H9,Calculations!H29,Calculations!H49)</f>
        <v>0</v>
      </c>
      <c r="I41" s="28">
        <f>CHOOSE(MATCH(Inputs!$C$4,{"Pessimistic","Realistic","Optimistic"},0),Calculations!I9,Calculations!I29,Calculations!I49)</f>
        <v>0</v>
      </c>
      <c r="J41" s="26">
        <f>CHOOSE(MATCH(Inputs!$C$4,{"Pessimistic","Realistic","Optimistic"},0),Calculations!L9,Calculations!L29,Calculations!L49)</f>
        <v>0</v>
      </c>
    </row>
    <row r="42" spans="2:10" x14ac:dyDescent="0.3">
      <c r="B42" s="30" t="str">
        <f>CHOOSE(MATCH(Inputs!$C$4,{"Pessimistic","Realistic","Optimistic"},0),Calculations!B10,Calculations!B30,Calculations!B50)</f>
        <v>II</v>
      </c>
      <c r="C42" s="26">
        <f>CHOOSE(MATCH(Inputs!$C$4,{"Pessimistic","Realistic","Optimistic"},0),Calculations!C10,Calculations!C30,Calculations!C50)</f>
        <v>33</v>
      </c>
      <c r="D42" s="26">
        <f>CHOOSE(MATCH(Inputs!$C$4,{"Pessimistic","Realistic","Optimistic"},0),Calculations!D10,Calculations!D30,Calculations!D50)</f>
        <v>0</v>
      </c>
      <c r="E42" s="26">
        <f>CHOOSE(MATCH(Inputs!$C$4,{"Pessimistic","Realistic","Optimistic"},0),Calculations!E10,Calculations!E30,Calculations!E50)</f>
        <v>33</v>
      </c>
      <c r="F42" s="28">
        <f>CHOOSE(MATCH(Inputs!$C$4,{"Pessimistic","Realistic","Optimistic"},0),Calculations!F10,Calculations!F30,Calculations!F50)</f>
        <v>8517250</v>
      </c>
      <c r="G42" s="31">
        <f>CHOOSE(MATCH(Inputs!$C$4,{"Pessimistic","Realistic","Optimistic"},0),Calculations!G10,Calculations!G30,Calculations!G50)</f>
        <v>0</v>
      </c>
      <c r="H42" s="28">
        <f>CHOOSE(MATCH(Inputs!$C$4,{"Pessimistic","Realistic","Optimistic"},0),Calculations!H10,Calculations!H30,Calculations!H50)</f>
        <v>0</v>
      </c>
      <c r="I42" s="28">
        <f>CHOOSE(MATCH(Inputs!$C$4,{"Pessimistic","Realistic","Optimistic"},0),Calculations!I10,Calculations!I30,Calculations!I50)</f>
        <v>0</v>
      </c>
      <c r="J42" s="26">
        <f>CHOOSE(MATCH(Inputs!$C$4,{"Pessimistic","Realistic","Optimistic"},0),Calculations!L10,Calculations!L30,Calculations!L50)</f>
        <v>0</v>
      </c>
    </row>
    <row r="43" spans="2:10" x14ac:dyDescent="0.3">
      <c r="B43" s="30" t="str">
        <f>CHOOSE(MATCH(Inputs!$C$4,{"Pessimistic","Realistic","Optimistic"},0),Calculations!B11,Calculations!B31,Calculations!B51)</f>
        <v>III</v>
      </c>
      <c r="C43" s="26">
        <f>CHOOSE(MATCH(Inputs!$C$4,{"Pessimistic","Realistic","Optimistic"},0),Calculations!C11,Calculations!C31,Calculations!C51)</f>
        <v>34</v>
      </c>
      <c r="D43" s="26">
        <f>CHOOSE(MATCH(Inputs!$C$4,{"Pessimistic","Realistic","Optimistic"},0),Calculations!D11,Calculations!D31,Calculations!D51)</f>
        <v>0</v>
      </c>
      <c r="E43" s="26">
        <f>CHOOSE(MATCH(Inputs!$C$4,{"Pessimistic","Realistic","Optimistic"},0),Calculations!E11,Calculations!E31,Calculations!E51)</f>
        <v>34</v>
      </c>
      <c r="F43" s="28">
        <f>CHOOSE(MATCH(Inputs!$C$4,{"Pessimistic","Realistic","Optimistic"},0),Calculations!F11,Calculations!F31,Calculations!F51)</f>
        <v>9182150</v>
      </c>
      <c r="G43" s="31">
        <f>CHOOSE(MATCH(Inputs!$C$4,{"Pessimistic","Realistic","Optimistic"},0),Calculations!G11,Calculations!G31,Calculations!G51)</f>
        <v>0</v>
      </c>
      <c r="H43" s="28">
        <f>CHOOSE(MATCH(Inputs!$C$4,{"Pessimistic","Realistic","Optimistic"},0),Calculations!H11,Calculations!H31,Calculations!H51)</f>
        <v>0</v>
      </c>
      <c r="I43" s="28">
        <f>CHOOSE(MATCH(Inputs!$C$4,{"Pessimistic","Realistic","Optimistic"},0),Calculations!I11,Calculations!I31,Calculations!I51)</f>
        <v>0</v>
      </c>
      <c r="J43" s="26">
        <f>CHOOSE(MATCH(Inputs!$C$4,{"Pessimistic","Realistic","Optimistic"},0),Calculations!L11,Calculations!L31,Calculations!L51)</f>
        <v>0</v>
      </c>
    </row>
    <row r="44" spans="2:10" x14ac:dyDescent="0.3">
      <c r="B44" s="30" t="str">
        <f>CHOOSE(MATCH(Inputs!$C$4,{"Pessimistic","Realistic","Optimistic"},0),Calculations!B12,Calculations!B32,Calculations!B52)</f>
        <v>IV</v>
      </c>
      <c r="C44" s="26">
        <f>CHOOSE(MATCH(Inputs!$C$4,{"Pessimistic","Realistic","Optimistic"},0),Calculations!C12,Calculations!C32,Calculations!C52)</f>
        <v>32</v>
      </c>
      <c r="D44" s="26">
        <f>CHOOSE(MATCH(Inputs!$C$4,{"Pessimistic","Realistic","Optimistic"},0),Calculations!D12,Calculations!D32,Calculations!D52)</f>
        <v>0</v>
      </c>
      <c r="E44" s="26">
        <f>CHOOSE(MATCH(Inputs!$C$4,{"Pessimistic","Realistic","Optimistic"},0),Calculations!E12,Calculations!E32,Calculations!E52)</f>
        <v>32</v>
      </c>
      <c r="F44" s="28">
        <f>CHOOSE(MATCH(Inputs!$C$4,{"Pessimistic","Realistic","Optimistic"},0),Calculations!F12,Calculations!F32,Calculations!F52)</f>
        <v>8827600</v>
      </c>
      <c r="G44" s="31">
        <f>CHOOSE(MATCH(Inputs!$C$4,{"Pessimistic","Realistic","Optimistic"},0),Calculations!G12,Calculations!G32,Calculations!G52)</f>
        <v>0</v>
      </c>
      <c r="H44" s="28">
        <f>CHOOSE(MATCH(Inputs!$C$4,{"Pessimistic","Realistic","Optimistic"},0),Calculations!H12,Calculations!H32,Calculations!H52)</f>
        <v>0</v>
      </c>
      <c r="I44" s="28">
        <f>CHOOSE(MATCH(Inputs!$C$4,{"Pessimistic","Realistic","Optimistic"},0),Calculations!I12,Calculations!I32,Calculations!I52)</f>
        <v>0</v>
      </c>
      <c r="J44" s="26">
        <f>CHOOSE(MATCH(Inputs!$C$4,{"Pessimistic","Realistic","Optimistic"},0),Calculations!L12,Calculations!L32,Calculations!L52)</f>
        <v>0</v>
      </c>
    </row>
    <row r="45" spans="2:10" x14ac:dyDescent="0.3">
      <c r="B45" s="30" t="str">
        <f>CHOOSE(MATCH(Inputs!$C$4,{"Pessimistic","Realistic","Optimistic"},0),Calculations!B13,Calculations!B33,Calculations!B53)</f>
        <v>V</v>
      </c>
      <c r="C45" s="26">
        <f>CHOOSE(MATCH(Inputs!$C$4,{"Pessimistic","Realistic","Optimistic"},0),Calculations!C13,Calculations!C33,Calculations!C53)</f>
        <v>31</v>
      </c>
      <c r="D45" s="26">
        <f>CHOOSE(MATCH(Inputs!$C$4,{"Pessimistic","Realistic","Optimistic"},0),Calculations!D13,Calculations!D33,Calculations!D53)</f>
        <v>1</v>
      </c>
      <c r="E45" s="26">
        <f>CHOOSE(MATCH(Inputs!$C$4,{"Pessimistic","Realistic","Optimistic"},0),Calculations!E13,Calculations!E33,Calculations!E53)</f>
        <v>32</v>
      </c>
      <c r="F45" s="28">
        <f>CHOOSE(MATCH(Inputs!$C$4,{"Pessimistic","Realistic","Optimistic"},0),Calculations!F13,Calculations!F33,Calculations!F53)</f>
        <v>9664700</v>
      </c>
      <c r="G45" s="31">
        <f>CHOOSE(MATCH(Inputs!$C$4,{"Pessimistic","Realistic","Optimistic"},0),Calculations!G13,Calculations!G33,Calculations!G53)</f>
        <v>0</v>
      </c>
      <c r="H45" s="28">
        <f>CHOOSE(MATCH(Inputs!$C$4,{"Pessimistic","Realistic","Optimistic"},0),Calculations!H13,Calculations!H33,Calculations!H53)</f>
        <v>0</v>
      </c>
      <c r="I45" s="28">
        <f>CHOOSE(MATCH(Inputs!$C$4,{"Pessimistic","Realistic","Optimistic"},0),Calculations!I13,Calculations!I33,Calculations!I53)</f>
        <v>100000</v>
      </c>
      <c r="J45" s="26">
        <f>CHOOSE(MATCH(Inputs!$C$4,{"Pessimistic","Realistic","Optimistic"},0),Calculations!L13,Calculations!L33,Calculations!L53)</f>
        <v>0</v>
      </c>
    </row>
    <row r="46" spans="2:10" x14ac:dyDescent="0.3">
      <c r="B46" s="30" t="str">
        <f>CHOOSE(MATCH(Inputs!$C$4,{"Pessimistic","Realistic","Optimistic"},0),Calculations!B14,Calculations!B34,Calculations!B54)</f>
        <v>VI</v>
      </c>
      <c r="C46" s="26">
        <f>CHOOSE(MATCH(Inputs!$C$4,{"Pessimistic","Realistic","Optimistic"},0),Calculations!C14,Calculations!C34,Calculations!C54)</f>
        <v>31</v>
      </c>
      <c r="D46" s="26">
        <f>CHOOSE(MATCH(Inputs!$C$4,{"Pessimistic","Realistic","Optimistic"},0),Calculations!D14,Calculations!D34,Calculations!D54)</f>
        <v>1</v>
      </c>
      <c r="E46" s="26">
        <f>CHOOSE(MATCH(Inputs!$C$4,{"Pessimistic","Realistic","Optimistic"},0),Calculations!E14,Calculations!E34,Calculations!E54)</f>
        <v>32</v>
      </c>
      <c r="F46" s="28">
        <f>CHOOSE(MATCH(Inputs!$C$4,{"Pessimistic","Realistic","Optimistic"},0),Calculations!F14,Calculations!F34,Calculations!F54)</f>
        <v>10311300</v>
      </c>
      <c r="G46" s="31">
        <f>CHOOSE(MATCH(Inputs!$C$4,{"Pessimistic","Realistic","Optimistic"},0),Calculations!G14,Calculations!G34,Calculations!G54)</f>
        <v>0.2</v>
      </c>
      <c r="H46" s="28">
        <f>CHOOSE(MATCH(Inputs!$C$4,{"Pessimistic","Realistic","Optimistic"},0),Calculations!H14,Calculations!H34,Calculations!H54)</f>
        <v>0</v>
      </c>
      <c r="I46" s="28">
        <f>CHOOSE(MATCH(Inputs!$C$4,{"Pessimistic","Realistic","Optimistic"},0),Calculations!I14,Calculations!I34,Calculations!I54)</f>
        <v>100000</v>
      </c>
      <c r="J46" s="26">
        <f>CHOOSE(MATCH(Inputs!$C$4,{"Pessimistic","Realistic","Optimistic"},0),Calculations!L14,Calculations!L34,Calculations!L54)</f>
        <v>0</v>
      </c>
    </row>
    <row r="47" spans="2:10" x14ac:dyDescent="0.3">
      <c r="B47" s="30" t="str">
        <f>CHOOSE(MATCH(Inputs!$C$4,{"Pessimistic","Realistic","Optimistic"},0),Calculations!B15,Calculations!B35,Calculations!B55)</f>
        <v>VII</v>
      </c>
      <c r="C47" s="26">
        <f>CHOOSE(MATCH(Inputs!$C$4,{"Pessimistic","Realistic","Optimistic"},0),Calculations!C15,Calculations!C35,Calculations!C55)</f>
        <v>27</v>
      </c>
      <c r="D47" s="26">
        <f>CHOOSE(MATCH(Inputs!$C$4,{"Pessimistic","Realistic","Optimistic"},0),Calculations!D15,Calculations!D35,Calculations!D55)</f>
        <v>2</v>
      </c>
      <c r="E47" s="26">
        <f>CHOOSE(MATCH(Inputs!$C$4,{"Pessimistic","Realistic","Optimistic"},0),Calculations!E15,Calculations!E35,Calculations!E55)</f>
        <v>29</v>
      </c>
      <c r="F47" s="28">
        <f>CHOOSE(MATCH(Inputs!$C$4,{"Pessimistic","Realistic","Optimistic"},0),Calculations!F15,Calculations!F35,Calculations!F55)</f>
        <v>9982080</v>
      </c>
      <c r="G47" s="31">
        <f>CHOOSE(MATCH(Inputs!$C$4,{"Pessimistic","Realistic","Optimistic"},0),Calculations!G15,Calculations!G35,Calculations!G55)</f>
        <v>0.2</v>
      </c>
      <c r="H47" s="28">
        <f>CHOOSE(MATCH(Inputs!$C$4,{"Pessimistic","Realistic","Optimistic"},0),Calculations!H15,Calculations!H35,Calculations!H55)</f>
        <v>0</v>
      </c>
      <c r="I47" s="28">
        <f>CHOOSE(MATCH(Inputs!$C$4,{"Pessimistic","Realistic","Optimistic"},0),Calculations!I15,Calculations!I35,Calculations!I55)</f>
        <v>200000</v>
      </c>
      <c r="J47" s="26">
        <f>CHOOSE(MATCH(Inputs!$C$4,{"Pessimistic","Realistic","Optimistic"},0),Calculations!L15,Calculations!L35,Calculations!L55)</f>
        <v>0</v>
      </c>
    </row>
    <row r="48" spans="2:10" x14ac:dyDescent="0.3">
      <c r="B48" s="30" t="str">
        <f>CHOOSE(MATCH(Inputs!$C$4,{"Pessimistic","Realistic","Optimistic"},0),Calculations!B16,Calculations!B36,Calculations!B56)</f>
        <v>VIII</v>
      </c>
      <c r="C48" s="26">
        <f>CHOOSE(MATCH(Inputs!$C$4,{"Pessimistic","Realistic","Optimistic"},0),Calculations!C16,Calculations!C36,Calculations!C56)</f>
        <v>25</v>
      </c>
      <c r="D48" s="26">
        <f>CHOOSE(MATCH(Inputs!$C$4,{"Pessimistic","Realistic","Optimistic"},0),Calculations!D16,Calculations!D36,Calculations!D56)</f>
        <v>3</v>
      </c>
      <c r="E48" s="26">
        <f>CHOOSE(MATCH(Inputs!$C$4,{"Pessimistic","Realistic","Optimistic"},0),Calculations!E16,Calculations!E36,Calculations!E56)</f>
        <v>28</v>
      </c>
      <c r="F48" s="28">
        <f>CHOOSE(MATCH(Inputs!$C$4,{"Pessimistic","Realistic","Optimistic"},0),Calculations!F16,Calculations!F36,Calculations!F56)</f>
        <v>10171840</v>
      </c>
      <c r="G48" s="31">
        <f>CHOOSE(MATCH(Inputs!$C$4,{"Pessimistic","Realistic","Optimistic"},0),Calculations!G16,Calculations!G36,Calculations!G56)</f>
        <v>0.3</v>
      </c>
      <c r="H48" s="28">
        <f>CHOOSE(MATCH(Inputs!$C$4,{"Pessimistic","Realistic","Optimistic"},0),Calculations!H16,Calculations!H36,Calculations!H56)</f>
        <v>0</v>
      </c>
      <c r="I48" s="28">
        <f>CHOOSE(MATCH(Inputs!$C$4,{"Pessimistic","Realistic","Optimistic"},0),Calculations!I16,Calculations!I36,Calculations!I56)</f>
        <v>300000</v>
      </c>
      <c r="J48" s="26">
        <f>CHOOSE(MATCH(Inputs!$C$4,{"Pessimistic","Realistic","Optimistic"},0),Calculations!L16,Calculations!L36,Calculations!L56)</f>
        <v>0</v>
      </c>
    </row>
    <row r="49" spans="2:10" x14ac:dyDescent="0.3">
      <c r="B49" s="30" t="str">
        <f>CHOOSE(MATCH(Inputs!$C$4,{"Pessimistic","Realistic","Optimistic"},0),Calculations!B17,Calculations!B37,Calculations!B57)</f>
        <v>IX</v>
      </c>
      <c r="C49" s="26">
        <f>CHOOSE(MATCH(Inputs!$C$4,{"Pessimistic","Realistic","Optimistic"},0),Calculations!C17,Calculations!C37,Calculations!C57)</f>
        <v>26</v>
      </c>
      <c r="D49" s="26">
        <f>CHOOSE(MATCH(Inputs!$C$4,{"Pessimistic","Realistic","Optimistic"},0),Calculations!D17,Calculations!D37,Calculations!D57)</f>
        <v>3</v>
      </c>
      <c r="E49" s="26">
        <f>CHOOSE(MATCH(Inputs!$C$4,{"Pessimistic","Realistic","Optimistic"},0),Calculations!E17,Calculations!E37,Calculations!E57)</f>
        <v>29</v>
      </c>
      <c r="F49" s="28">
        <f>CHOOSE(MATCH(Inputs!$C$4,{"Pessimistic","Realistic","Optimistic"},0),Calculations!F17,Calculations!F37,Calculations!F57)</f>
        <v>11078870</v>
      </c>
      <c r="G49" s="31">
        <f>CHOOSE(MATCH(Inputs!$C$4,{"Pessimistic","Realistic","Optimistic"},0),Calculations!G17,Calculations!G37,Calculations!G57)</f>
        <v>0.3</v>
      </c>
      <c r="H49" s="28">
        <f>CHOOSE(MATCH(Inputs!$C$4,{"Pessimistic","Realistic","Optimistic"},0),Calculations!H17,Calculations!H37,Calculations!H57)</f>
        <v>0</v>
      </c>
      <c r="I49" s="28">
        <f>CHOOSE(MATCH(Inputs!$C$4,{"Pessimistic","Realistic","Optimistic"},0),Calculations!I17,Calculations!I37,Calculations!I57)</f>
        <v>300000</v>
      </c>
      <c r="J49" s="26">
        <f>CHOOSE(MATCH(Inputs!$C$4,{"Pessimistic","Realistic","Optimistic"},0),Calculations!L17,Calculations!L37,Calculations!L57)</f>
        <v>0</v>
      </c>
    </row>
    <row r="50" spans="2:10" x14ac:dyDescent="0.3">
      <c r="B50" s="30" t="str">
        <f>CHOOSE(MATCH(Inputs!$C$4,{"Pessimistic","Realistic","Optimistic"},0),Calculations!B18,Calculations!B38,Calculations!B58)</f>
        <v>X</v>
      </c>
      <c r="C50" s="26">
        <f>CHOOSE(MATCH(Inputs!$C$4,{"Pessimistic","Realistic","Optimistic"},0),Calculations!C18,Calculations!C38,Calculations!C58)</f>
        <v>30</v>
      </c>
      <c r="D50" s="26">
        <f>CHOOSE(MATCH(Inputs!$C$4,{"Pessimistic","Realistic","Optimistic"},0),Calculations!D18,Calculations!D38,Calculations!D58)</f>
        <v>0</v>
      </c>
      <c r="E50" s="26">
        <f>CHOOSE(MATCH(Inputs!$C$4,{"Pessimistic","Realistic","Optimistic"},0),Calculations!E18,Calculations!E38,Calculations!E58)</f>
        <v>30</v>
      </c>
      <c r="F50" s="28">
        <f>CHOOSE(MATCH(Inputs!$C$4,{"Pessimistic","Realistic","Optimistic"},0),Calculations!F18,Calculations!F38,Calculations!F58)</f>
        <v>11952000</v>
      </c>
      <c r="G50" s="31">
        <f>CHOOSE(MATCH(Inputs!$C$4,{"Pessimistic","Realistic","Optimistic"},0),Calculations!G18,Calculations!G38,Calculations!G58)</f>
        <v>0.2</v>
      </c>
      <c r="H50" s="28">
        <f>CHOOSE(MATCH(Inputs!$C$4,{"Pessimistic","Realistic","Optimistic"},0),Calculations!H18,Calculations!H38,Calculations!H58)</f>
        <v>0</v>
      </c>
      <c r="I50" s="28">
        <f>CHOOSE(MATCH(Inputs!$C$4,{"Pessimistic","Realistic","Optimistic"},0),Calculations!I18,Calculations!I38,Calculations!I58)</f>
        <v>0</v>
      </c>
      <c r="J50" s="26">
        <f>CHOOSE(MATCH(Inputs!$C$4,{"Pessimistic","Realistic","Optimistic"},0),Calculations!L18,Calculations!L38,Calculations!L58)</f>
        <v>0</v>
      </c>
    </row>
    <row r="51" spans="2:10" x14ac:dyDescent="0.3">
      <c r="B51" s="30" t="str">
        <f>CHOOSE(MATCH(Inputs!$C$4,{"Pessimistic","Realistic","Optimistic"},0),Calculations!B19,Calculations!B39,Calculations!B59)</f>
        <v>AS</v>
      </c>
      <c r="C51" s="26">
        <f>CHOOSE(MATCH(Inputs!$C$4,{"Pessimistic","Realistic","Optimistic"},0),Calculations!C19,Calculations!C39,Calculations!C59)</f>
        <v>26</v>
      </c>
      <c r="D51" s="26">
        <f>CHOOSE(MATCH(Inputs!$C$4,{"Pessimistic","Realistic","Optimistic"},0),Calculations!D19,Calculations!D39,Calculations!D59)</f>
        <v>10</v>
      </c>
      <c r="E51" s="26">
        <f>CHOOSE(MATCH(Inputs!$C$4,{"Pessimistic","Realistic","Optimistic"},0),Calculations!E19,Calculations!E39,Calculations!E59)</f>
        <v>36</v>
      </c>
      <c r="F51" s="28">
        <f>CHOOSE(MATCH(Inputs!$C$4,{"Pessimistic","Realistic","Optimistic"},0),Calculations!F19,Calculations!F39,Calculations!F59)</f>
        <v>12700800</v>
      </c>
      <c r="G51" s="31">
        <f>CHOOSE(MATCH(Inputs!$C$4,{"Pessimistic","Realistic","Optimistic"},0),Calculations!G19,Calculations!G39,Calculations!G59)</f>
        <v>0.1</v>
      </c>
      <c r="H51" s="28">
        <f>CHOOSE(MATCH(Inputs!$C$4,{"Pessimistic","Realistic","Optimistic"},0),Calculations!H19,Calculations!H39,Calculations!H59)</f>
        <v>0</v>
      </c>
      <c r="I51" s="28">
        <f>CHOOSE(MATCH(Inputs!$C$4,{"Pessimistic","Realistic","Optimistic"},0),Calculations!I19,Calculations!I39,Calculations!I59)</f>
        <v>0</v>
      </c>
      <c r="J51" s="26">
        <f>CHOOSE(MATCH(Inputs!$C$4,{"Pessimistic","Realistic","Optimistic"},0),Calculations!L19,Calculations!L39,Calculations!L59)</f>
        <v>0</v>
      </c>
    </row>
    <row r="52" spans="2:10" x14ac:dyDescent="0.3">
      <c r="B52" s="30" t="str">
        <f>CHOOSE(MATCH(Inputs!$C$4,{"Pessimistic","Realistic","Optimistic"},0),Calculations!B20,Calculations!B40,Calculations!B60)</f>
        <v>A2</v>
      </c>
      <c r="C52" s="26">
        <f>CHOOSE(MATCH(Inputs!$C$4,{"Pessimistic","Realistic","Optimistic"},0),Calculations!C20,Calculations!C40,Calculations!C60)</f>
        <v>29</v>
      </c>
      <c r="D52" s="26">
        <f>CHOOSE(MATCH(Inputs!$C$4,{"Pessimistic","Realistic","Optimistic"},0),Calculations!D20,Calculations!D40,Calculations!D60)</f>
        <v>0</v>
      </c>
      <c r="E52" s="26">
        <f>CHOOSE(MATCH(Inputs!$C$4,{"Pessimistic","Realistic","Optimistic"},0),Calculations!E20,Calculations!E40,Calculations!E60)</f>
        <v>29</v>
      </c>
      <c r="F52" s="28">
        <f>CHOOSE(MATCH(Inputs!$C$4,{"Pessimistic","Realistic","Optimistic"},0),Calculations!F20,Calculations!F40,Calculations!F60)</f>
        <v>10648800</v>
      </c>
      <c r="G52" s="31">
        <f>CHOOSE(MATCH(Inputs!$C$4,{"Pessimistic","Realistic","Optimistic"},0),Calculations!G20,Calculations!G40,Calculations!G60)</f>
        <v>0</v>
      </c>
      <c r="H52" s="28">
        <f>CHOOSE(MATCH(Inputs!$C$4,{"Pessimistic","Realistic","Optimistic"},0),Calculations!H20,Calculations!H40,Calculations!H60)</f>
        <v>0</v>
      </c>
      <c r="I52" s="28">
        <f>CHOOSE(MATCH(Inputs!$C$4,{"Pessimistic","Realistic","Optimistic"},0),Calculations!I20,Calculations!I40,Calculations!I60)</f>
        <v>0</v>
      </c>
      <c r="J52" s="26">
        <f>CHOOSE(MATCH(Inputs!$C$4,{"Pessimistic","Realistic","Optimistic"},0),Calculations!L20,Calculations!L40,Calculations!L60)</f>
        <v>0</v>
      </c>
    </row>
    <row r="53" spans="2:10" x14ac:dyDescent="0.3">
      <c r="B53" s="17" t="s">
        <v>63</v>
      </c>
      <c r="C53" s="32">
        <f>SUM(C38:C52)</f>
        <v>366</v>
      </c>
      <c r="D53" s="32">
        <f>SUM(D38:D52)</f>
        <v>49</v>
      </c>
      <c r="E53" s="32">
        <f>SUM(E38:E52)</f>
        <v>415</v>
      </c>
      <c r="F53" s="33">
        <f>SUM(F38:F52)</f>
        <v>129387390</v>
      </c>
      <c r="G53" s="34"/>
      <c r="H53" s="33">
        <f>SUM(H38:H52)</f>
        <v>0</v>
      </c>
      <c r="I53" s="33">
        <f>SUM(I38:I52)</f>
        <v>1000000</v>
      </c>
      <c r="J53" s="32">
        <f>SUM(J38:J52)</f>
        <v>0</v>
      </c>
    </row>
  </sheetData>
  <mergeCells count="16">
    <mergeCell ref="B11:E11"/>
    <mergeCell ref="B36:J36"/>
    <mergeCell ref="N6:P6"/>
    <mergeCell ref="Q6:S6"/>
    <mergeCell ref="B7:D8"/>
    <mergeCell ref="E7:G8"/>
    <mergeCell ref="H7:J8"/>
    <mergeCell ref="K7:M8"/>
    <mergeCell ref="N7:P8"/>
    <mergeCell ref="Q7:S8"/>
    <mergeCell ref="C4:D4"/>
    <mergeCell ref="E4:K4"/>
    <mergeCell ref="B6:D6"/>
    <mergeCell ref="E6:G6"/>
    <mergeCell ref="H6:J6"/>
    <mergeCell ref="K6:M6"/>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L118"/>
  <sheetViews>
    <sheetView showGridLines="0" topLeftCell="A69" zoomScaleNormal="100" workbookViewId="0">
      <selection activeCell="E15" sqref="E15"/>
    </sheetView>
  </sheetViews>
  <sheetFormatPr defaultColWidth="8.6640625" defaultRowHeight="14.4" x14ac:dyDescent="0.3"/>
  <cols>
    <col min="2" max="5" width="16" customWidth="1"/>
    <col min="6" max="12" width="14" customWidth="1"/>
  </cols>
  <sheetData>
    <row r="1" spans="2:12" ht="17.399999999999999" x14ac:dyDescent="0.3">
      <c r="B1" s="3" t="s">
        <v>136</v>
      </c>
    </row>
    <row r="2" spans="2:12" x14ac:dyDescent="0.3">
      <c r="B2" s="2" t="s">
        <v>137</v>
      </c>
    </row>
    <row r="4" spans="2:12" x14ac:dyDescent="0.3">
      <c r="B4" s="42" t="s">
        <v>138</v>
      </c>
      <c r="C4" s="42"/>
      <c r="D4" s="42"/>
      <c r="E4" s="42"/>
      <c r="F4" s="42"/>
      <c r="G4" s="42"/>
      <c r="H4" s="42"/>
      <c r="I4" s="42"/>
      <c r="J4" s="42"/>
      <c r="K4" s="42"/>
      <c r="L4" s="42"/>
    </row>
    <row r="5" spans="2:12" ht="27.75" customHeight="1" x14ac:dyDescent="0.3">
      <c r="B5" s="6" t="s">
        <v>32</v>
      </c>
      <c r="C5" s="6" t="s">
        <v>33</v>
      </c>
      <c r="D5" s="6" t="s">
        <v>129</v>
      </c>
      <c r="E5" s="6" t="s">
        <v>130</v>
      </c>
      <c r="F5" s="6" t="s">
        <v>131</v>
      </c>
      <c r="G5" s="6" t="s">
        <v>132</v>
      </c>
      <c r="H5" s="6" t="s">
        <v>133</v>
      </c>
      <c r="I5" s="6" t="s">
        <v>134</v>
      </c>
      <c r="J5" s="6" t="s">
        <v>139</v>
      </c>
      <c r="K5" s="6" t="s">
        <v>140</v>
      </c>
      <c r="L5" s="6" t="s">
        <v>135</v>
      </c>
    </row>
    <row r="6" spans="2:12" x14ac:dyDescent="0.3">
      <c r="B6" s="30" t="str">
        <f>Inputs!B8</f>
        <v>Pre-KG</v>
      </c>
      <c r="C6" s="35">
        <f>Inputs!C8</f>
        <v>0</v>
      </c>
      <c r="D6" s="35">
        <f>MIN((Inputs!F8-Inputs!C8),MAX(0,ROUND(Inputs!G8+Inputs!H8*Inputs!$E$42,0)))</f>
        <v>0</v>
      </c>
      <c r="E6" s="35">
        <f t="shared" ref="E6:E20" si="0">C6-L6+D6</f>
        <v>0</v>
      </c>
      <c r="F6" s="36">
        <f>(C6-J6+D6)*Inputs!D8*(1+Inputs!E8)+K6*Inputs!D8*(1+Inputs!$F$53)</f>
        <v>0</v>
      </c>
      <c r="G6" s="37">
        <f>MIN(1,MAX(0,Inputs!I8+Inputs!J8*Inputs!$F$42))</f>
        <v>0</v>
      </c>
      <c r="H6" s="36">
        <f>(C6-L6)*G6*Inputs!L8</f>
        <v>0</v>
      </c>
      <c r="I6" s="36">
        <f>D6*Inputs!M8</f>
        <v>0</v>
      </c>
      <c r="J6" s="35">
        <f>MAX(0,ROUND(Inputs!N8*(1+Inputs!O8*Inputs!$G$42),0))</f>
        <v>0</v>
      </c>
      <c r="K6" s="35">
        <f>MIN(J6,IFERROR(ROUND(Inputs!$C$56*Inputs!N8/Inputs!$N$23,0),0))</f>
        <v>0</v>
      </c>
      <c r="L6" s="35">
        <f t="shared" ref="L6:L20" si="1">J6-K6</f>
        <v>0</v>
      </c>
    </row>
    <row r="7" spans="2:12" x14ac:dyDescent="0.3">
      <c r="B7" s="30" t="str">
        <f>Inputs!B9</f>
        <v>LKG</v>
      </c>
      <c r="C7" s="35">
        <f>Inputs!C9</f>
        <v>4</v>
      </c>
      <c r="D7" s="35">
        <f>MIN((Inputs!F9-Inputs!C9),MAX(0,ROUND(Inputs!G9+Inputs!H9*Inputs!$E$42,0)))</f>
        <v>10</v>
      </c>
      <c r="E7" s="35">
        <f t="shared" si="0"/>
        <v>14</v>
      </c>
      <c r="F7" s="36">
        <f>(C7-J7+D7)*Inputs!D9*(1+Inputs!E9)+K7*Inputs!D9*(1+Inputs!$F$53)</f>
        <v>3360000</v>
      </c>
      <c r="G7" s="37">
        <f>MIN(1,MAX(0,Inputs!I9+Inputs!J9*Inputs!$F$42))</f>
        <v>0</v>
      </c>
      <c r="H7" s="36">
        <f>(C7-L7)*G7*Inputs!L9</f>
        <v>0</v>
      </c>
      <c r="I7" s="36">
        <f>D7*Inputs!M9</f>
        <v>0</v>
      </c>
      <c r="J7" s="35">
        <f>MAX(0,ROUND(Inputs!N9*(1+Inputs!O9*Inputs!$G$42),0))</f>
        <v>0</v>
      </c>
      <c r="K7" s="35">
        <f>MIN(J7,IFERROR(ROUND(Inputs!$C$56*Inputs!N9/Inputs!$N$23,0),0))</f>
        <v>0</v>
      </c>
      <c r="L7" s="35">
        <f t="shared" si="1"/>
        <v>0</v>
      </c>
    </row>
    <row r="8" spans="2:12" x14ac:dyDescent="0.3">
      <c r="B8" s="30" t="str">
        <f>Inputs!B10</f>
        <v>UKG</v>
      </c>
      <c r="C8" s="35">
        <f>Inputs!C10</f>
        <v>15</v>
      </c>
      <c r="D8" s="35">
        <f>MIN((Inputs!F10-Inputs!C10),MAX(0,ROUND(Inputs!G10+Inputs!H10*Inputs!$E$42,0)))</f>
        <v>5</v>
      </c>
      <c r="E8" s="35">
        <f t="shared" si="0"/>
        <v>20</v>
      </c>
      <c r="F8" s="36">
        <f>(C8-J8+D8)*Inputs!D10*(1+Inputs!E10)+K8*Inputs!D10*(1+Inputs!$F$53)</f>
        <v>4800000</v>
      </c>
      <c r="G8" s="37">
        <f>MIN(1,MAX(0,Inputs!I10+Inputs!J10*Inputs!$F$42))</f>
        <v>0</v>
      </c>
      <c r="H8" s="36">
        <f>(C8-L8)*G8*Inputs!L10</f>
        <v>0</v>
      </c>
      <c r="I8" s="36">
        <f>D8*Inputs!M10</f>
        <v>0</v>
      </c>
      <c r="J8" s="35">
        <f>MAX(0,ROUND(Inputs!N10*(1+Inputs!O10*Inputs!$G$42),0))</f>
        <v>0</v>
      </c>
      <c r="K8" s="35">
        <f>MIN(J8,IFERROR(ROUND(Inputs!$C$56*Inputs!N10/Inputs!$N$23,0),0))</f>
        <v>0</v>
      </c>
      <c r="L8" s="35">
        <f t="shared" si="1"/>
        <v>0</v>
      </c>
    </row>
    <row r="9" spans="2:12" x14ac:dyDescent="0.3">
      <c r="B9" s="30" t="str">
        <f>Inputs!B11</f>
        <v>I</v>
      </c>
      <c r="C9" s="35">
        <f>Inputs!C11</f>
        <v>23</v>
      </c>
      <c r="D9" s="35">
        <f>MIN((Inputs!F11-Inputs!C11),MAX(0,ROUND(Inputs!G11+Inputs!H11*Inputs!$E$42,0)))</f>
        <v>5</v>
      </c>
      <c r="E9" s="35">
        <f t="shared" si="0"/>
        <v>28</v>
      </c>
      <c r="F9" s="36">
        <f>(C9-J9+D9)*Inputs!D11*(1+Inputs!E11)+K9*Inputs!D11*(1+Inputs!$F$53)</f>
        <v>6076000</v>
      </c>
      <c r="G9" s="37">
        <f>MIN(1,MAX(0,Inputs!I11+Inputs!J11*Inputs!$F$42))</f>
        <v>0</v>
      </c>
      <c r="H9" s="36">
        <f>(C9-L9)*G9*Inputs!L11</f>
        <v>0</v>
      </c>
      <c r="I9" s="36">
        <f>D9*Inputs!M11</f>
        <v>0</v>
      </c>
      <c r="J9" s="35">
        <f>MAX(0,ROUND(Inputs!N11*(1+Inputs!O11*Inputs!$G$42),0))</f>
        <v>0</v>
      </c>
      <c r="K9" s="35">
        <f>MIN(J9,IFERROR(ROUND(Inputs!$C$56*Inputs!N11/Inputs!$N$23,0),0))</f>
        <v>0</v>
      </c>
      <c r="L9" s="35">
        <f t="shared" si="1"/>
        <v>0</v>
      </c>
    </row>
    <row r="10" spans="2:12" x14ac:dyDescent="0.3">
      <c r="B10" s="30" t="str">
        <f>Inputs!B12</f>
        <v>II</v>
      </c>
      <c r="C10" s="35">
        <f>Inputs!C12</f>
        <v>33</v>
      </c>
      <c r="D10" s="35">
        <f>MIN((Inputs!F12-Inputs!C12),MAX(0,ROUND(Inputs!G12+Inputs!H12*Inputs!$E$42,0)))</f>
        <v>0</v>
      </c>
      <c r="E10" s="35">
        <f t="shared" si="0"/>
        <v>28</v>
      </c>
      <c r="F10" s="36">
        <f>(C10-J10+D10)*Inputs!D12*(1+Inputs!E12)+K10*Inputs!D12*(1+Inputs!$F$53)</f>
        <v>7245630</v>
      </c>
      <c r="G10" s="37">
        <f>MIN(1,MAX(0,Inputs!I12+Inputs!J12*Inputs!$F$42))</f>
        <v>0</v>
      </c>
      <c r="H10" s="36">
        <f>(C10-L10)*G10*Inputs!L12</f>
        <v>0</v>
      </c>
      <c r="I10" s="36">
        <f>D10*Inputs!M12</f>
        <v>0</v>
      </c>
      <c r="J10" s="35">
        <f>MAX(0,ROUND(Inputs!N12*(1+Inputs!O12*Inputs!$G$42),0))</f>
        <v>8</v>
      </c>
      <c r="K10" s="35">
        <f>MIN(J10,IFERROR(ROUND(Inputs!$C$56*Inputs!N12/Inputs!$N$23,0),0))</f>
        <v>3</v>
      </c>
      <c r="L10" s="35">
        <f t="shared" si="1"/>
        <v>5</v>
      </c>
    </row>
    <row r="11" spans="2:12" x14ac:dyDescent="0.3">
      <c r="B11" s="30" t="str">
        <f>Inputs!B13</f>
        <v>III</v>
      </c>
      <c r="C11" s="35">
        <f>Inputs!C13</f>
        <v>34</v>
      </c>
      <c r="D11" s="35">
        <f>MIN((Inputs!F13-Inputs!C13),MAX(0,ROUND(Inputs!G13+Inputs!H13*Inputs!$E$42,0)))</f>
        <v>0</v>
      </c>
      <c r="E11" s="35">
        <f t="shared" si="0"/>
        <v>29</v>
      </c>
      <c r="F11" s="36">
        <f>(C11-J11+D11)*Inputs!D13*(1+Inputs!E13)+K11*Inputs!D13*(1+Inputs!$F$53)</f>
        <v>7851930</v>
      </c>
      <c r="G11" s="37">
        <f>MIN(1,MAX(0,Inputs!I13+Inputs!J13*Inputs!$F$42))</f>
        <v>0</v>
      </c>
      <c r="H11" s="36">
        <f>(C11-L11)*G11*Inputs!L13</f>
        <v>0</v>
      </c>
      <c r="I11" s="36">
        <f>D11*Inputs!M13</f>
        <v>0</v>
      </c>
      <c r="J11" s="35">
        <f>MAX(0,ROUND(Inputs!N13*(1+Inputs!O13*Inputs!$G$42),0))</f>
        <v>8</v>
      </c>
      <c r="K11" s="35">
        <f>MIN(J11,IFERROR(ROUND(Inputs!$C$56*Inputs!N13/Inputs!$N$23,0),0))</f>
        <v>3</v>
      </c>
      <c r="L11" s="35">
        <f t="shared" si="1"/>
        <v>5</v>
      </c>
    </row>
    <row r="12" spans="2:12" x14ac:dyDescent="0.3">
      <c r="B12" s="30" t="str">
        <f>Inputs!B14</f>
        <v>IV</v>
      </c>
      <c r="C12" s="35">
        <f>Inputs!C14</f>
        <v>32</v>
      </c>
      <c r="D12" s="35">
        <f>MIN((Inputs!F14-Inputs!C14),MAX(0,ROUND(Inputs!G14+Inputs!H14*Inputs!$E$42,0)))</f>
        <v>0</v>
      </c>
      <c r="E12" s="35">
        <f t="shared" si="0"/>
        <v>27</v>
      </c>
      <c r="F12" s="36">
        <f>(C12-J12+D12)*Inputs!D14*(1+Inputs!E14)+K12*Inputs!D14*(1+Inputs!$F$53)</f>
        <v>7468080</v>
      </c>
      <c r="G12" s="37">
        <f>MIN(1,MAX(0,Inputs!I14+Inputs!J14*Inputs!$F$42))</f>
        <v>0</v>
      </c>
      <c r="H12" s="36">
        <f>(C12-L12)*G12*Inputs!L14</f>
        <v>0</v>
      </c>
      <c r="I12" s="36">
        <f>D12*Inputs!M14</f>
        <v>0</v>
      </c>
      <c r="J12" s="35">
        <f>MAX(0,ROUND(Inputs!N14*(1+Inputs!O14*Inputs!$G$42),0))</f>
        <v>8</v>
      </c>
      <c r="K12" s="35">
        <f>MIN(J12,IFERROR(ROUND(Inputs!$C$56*Inputs!N14/Inputs!$N$23,0),0))</f>
        <v>3</v>
      </c>
      <c r="L12" s="35">
        <f t="shared" si="1"/>
        <v>5</v>
      </c>
    </row>
    <row r="13" spans="2:12" x14ac:dyDescent="0.3">
      <c r="B13" s="30" t="str">
        <f>Inputs!B15</f>
        <v>V</v>
      </c>
      <c r="C13" s="35">
        <f>Inputs!C15</f>
        <v>31</v>
      </c>
      <c r="D13" s="35">
        <f>MIN((Inputs!F15-Inputs!C15),MAX(0,ROUND(Inputs!G15+Inputs!H15*Inputs!$E$42,0)))</f>
        <v>1</v>
      </c>
      <c r="E13" s="35">
        <f t="shared" si="0"/>
        <v>27</v>
      </c>
      <c r="F13" s="36">
        <f>(C13-J13+D13)*Inputs!D15*(1+Inputs!E15)+K13*Inputs!D15*(1+Inputs!$F$53)</f>
        <v>8176260</v>
      </c>
      <c r="G13" s="37">
        <f>MIN(1,MAX(0,Inputs!I15+Inputs!J15*Inputs!$F$42))</f>
        <v>0</v>
      </c>
      <c r="H13" s="36">
        <f>(C13-L13)*G13*Inputs!L15</f>
        <v>0</v>
      </c>
      <c r="I13" s="36">
        <f>D13*Inputs!M15</f>
        <v>100000</v>
      </c>
      <c r="J13" s="35">
        <f>MAX(0,ROUND(Inputs!N15*(1+Inputs!O15*Inputs!$G$42),0))</f>
        <v>8</v>
      </c>
      <c r="K13" s="35">
        <f>MIN(J13,IFERROR(ROUND(Inputs!$C$56*Inputs!N15/Inputs!$N$23,0),0))</f>
        <v>3</v>
      </c>
      <c r="L13" s="35">
        <f t="shared" si="1"/>
        <v>5</v>
      </c>
    </row>
    <row r="14" spans="2:12" x14ac:dyDescent="0.3">
      <c r="B14" s="30" t="str">
        <f>Inputs!B16</f>
        <v>VI</v>
      </c>
      <c r="C14" s="35">
        <f>Inputs!C16</f>
        <v>31</v>
      </c>
      <c r="D14" s="35">
        <f>MIN((Inputs!F16-Inputs!C16),MAX(0,ROUND(Inputs!G16+Inputs!H16*Inputs!$E$42,0)))</f>
        <v>1</v>
      </c>
      <c r="E14" s="35">
        <f t="shared" si="0"/>
        <v>29</v>
      </c>
      <c r="F14" s="36">
        <f>(C14-J14+D14)*Inputs!D16*(1+Inputs!E16)+K14*Inputs!D16*(1+Inputs!$F$53)</f>
        <v>9358200</v>
      </c>
      <c r="G14" s="37">
        <f>MIN(1,MAX(0,Inputs!I16+Inputs!J16*Inputs!$F$42))</f>
        <v>0.1</v>
      </c>
      <c r="H14" s="36">
        <f>(C14-L14)*G14*Inputs!L16</f>
        <v>0</v>
      </c>
      <c r="I14" s="36">
        <f>D14*Inputs!M16</f>
        <v>100000</v>
      </c>
      <c r="J14" s="35">
        <f>MAX(0,ROUND(Inputs!N16*(1+Inputs!O16*Inputs!$G$42),0))</f>
        <v>5</v>
      </c>
      <c r="K14" s="35">
        <f>MIN(J14,IFERROR(ROUND(Inputs!$C$56*Inputs!N16/Inputs!$N$23,0),0))</f>
        <v>2</v>
      </c>
      <c r="L14" s="35">
        <f t="shared" si="1"/>
        <v>3</v>
      </c>
    </row>
    <row r="15" spans="2:12" x14ac:dyDescent="0.3">
      <c r="B15" s="30" t="str">
        <f>Inputs!B17</f>
        <v>VII</v>
      </c>
      <c r="C15" s="35">
        <f>Inputs!C17</f>
        <v>27</v>
      </c>
      <c r="D15" s="35">
        <f>MIN((Inputs!F17-Inputs!C17),MAX(0,ROUND(Inputs!G17+Inputs!H17*Inputs!$E$42,0)))</f>
        <v>1</v>
      </c>
      <c r="E15" s="35">
        <f t="shared" si="0"/>
        <v>26</v>
      </c>
      <c r="F15" s="36">
        <f>(C15-J15+D15)*Inputs!D17*(1+Inputs!E17)+K15*Inputs!D17*(1+Inputs!$F$53)</f>
        <v>8965440</v>
      </c>
      <c r="G15" s="37">
        <f>MIN(1,MAX(0,Inputs!I17+Inputs!J17*Inputs!$F$42))</f>
        <v>0.1</v>
      </c>
      <c r="H15" s="36">
        <f>(C15-L15)*G15*Inputs!L17</f>
        <v>0</v>
      </c>
      <c r="I15" s="36">
        <f>D15*Inputs!M17</f>
        <v>100000</v>
      </c>
      <c r="J15" s="35">
        <f>MAX(0,ROUND(Inputs!N17*(1+Inputs!O17*Inputs!$G$42),0))</f>
        <v>3</v>
      </c>
      <c r="K15" s="35">
        <f>MIN(J15,IFERROR(ROUND(Inputs!$C$56*Inputs!N17/Inputs!$N$23,0),0))</f>
        <v>1</v>
      </c>
      <c r="L15" s="35">
        <f t="shared" si="1"/>
        <v>2</v>
      </c>
    </row>
    <row r="16" spans="2:12" x14ac:dyDescent="0.3">
      <c r="B16" s="30" t="str">
        <f>Inputs!B18</f>
        <v>VIII</v>
      </c>
      <c r="C16" s="35">
        <f>Inputs!C18</f>
        <v>25</v>
      </c>
      <c r="D16" s="35">
        <f>MIN((Inputs!F18-Inputs!C18),MAX(0,ROUND(Inputs!G18+Inputs!H18*Inputs!$E$42,0)))</f>
        <v>2</v>
      </c>
      <c r="E16" s="35">
        <f t="shared" si="0"/>
        <v>25</v>
      </c>
      <c r="F16" s="36">
        <f>(C16-J16+D16)*Inputs!D18*(1+Inputs!E18)+K16*Inputs!D18*(1+Inputs!$F$53)</f>
        <v>9098720</v>
      </c>
      <c r="G16" s="37">
        <f>MIN(1,MAX(0,Inputs!I18+Inputs!J18*Inputs!$F$42))</f>
        <v>0.19999999999999998</v>
      </c>
      <c r="H16" s="36">
        <f>(C16-L16)*G16*Inputs!L18</f>
        <v>0</v>
      </c>
      <c r="I16" s="36">
        <f>D16*Inputs!M18</f>
        <v>200000</v>
      </c>
      <c r="J16" s="35">
        <f>MAX(0,ROUND(Inputs!N18*(1+Inputs!O18*Inputs!$G$42),0))</f>
        <v>3</v>
      </c>
      <c r="K16" s="35">
        <f>MIN(J16,IFERROR(ROUND(Inputs!$C$56*Inputs!N18/Inputs!$N$23,0),0))</f>
        <v>1</v>
      </c>
      <c r="L16" s="35">
        <f t="shared" si="1"/>
        <v>2</v>
      </c>
    </row>
    <row r="17" spans="2:12" x14ac:dyDescent="0.3">
      <c r="B17" s="30" t="str">
        <f>Inputs!B19</f>
        <v>IX</v>
      </c>
      <c r="C17" s="35">
        <f>Inputs!C19</f>
        <v>26</v>
      </c>
      <c r="D17" s="35">
        <f>MIN((Inputs!F19-Inputs!C19),MAX(0,ROUND(Inputs!G19+Inputs!H19*Inputs!$E$42,0)))</f>
        <v>2</v>
      </c>
      <c r="E17" s="35">
        <f t="shared" si="0"/>
        <v>27</v>
      </c>
      <c r="F17" s="36">
        <f>(C17-J17+D17)*Inputs!D19*(1+Inputs!E19)+K17*Inputs!D19*(1+Inputs!$F$53)</f>
        <v>10313270</v>
      </c>
      <c r="G17" s="37">
        <f>MIN(1,MAX(0,Inputs!I19+Inputs!J19*Inputs!$F$42))</f>
        <v>0.19999999999999998</v>
      </c>
      <c r="H17" s="36">
        <f>(C17-L17)*G17*Inputs!L19</f>
        <v>0</v>
      </c>
      <c r="I17" s="36">
        <f>D17*Inputs!M19</f>
        <v>200000</v>
      </c>
      <c r="J17" s="35">
        <f>MAX(0,ROUND(Inputs!N19*(1+Inputs!O19*Inputs!$G$42),0))</f>
        <v>2</v>
      </c>
      <c r="K17" s="35">
        <f>MIN(J17,IFERROR(ROUND(Inputs!$C$56*Inputs!N19/Inputs!$N$23,0),0))</f>
        <v>1</v>
      </c>
      <c r="L17" s="35">
        <f t="shared" si="1"/>
        <v>1</v>
      </c>
    </row>
    <row r="18" spans="2:12" x14ac:dyDescent="0.3">
      <c r="B18" s="30" t="str">
        <f>Inputs!B20</f>
        <v>X</v>
      </c>
      <c r="C18" s="35">
        <f>Inputs!C20</f>
        <v>30</v>
      </c>
      <c r="D18" s="35">
        <f>MIN((Inputs!F20-Inputs!C20),MAX(0,ROUND(Inputs!G20+Inputs!H20*Inputs!$E$42,0)))</f>
        <v>0</v>
      </c>
      <c r="E18" s="35">
        <f t="shared" si="0"/>
        <v>30</v>
      </c>
      <c r="F18" s="36">
        <f>(C18-J18+D18)*Inputs!D20*(1+Inputs!E20)+K18*Inputs!D20*(1+Inputs!$F$53)</f>
        <v>11952000</v>
      </c>
      <c r="G18" s="37">
        <f>MIN(1,MAX(0,Inputs!I20+Inputs!J20*Inputs!$F$42))</f>
        <v>0.1</v>
      </c>
      <c r="H18" s="36">
        <f>(C18-L18)*G18*Inputs!L20</f>
        <v>0</v>
      </c>
      <c r="I18" s="36">
        <f>D18*Inputs!M20</f>
        <v>0</v>
      </c>
      <c r="J18" s="35">
        <f>MAX(0,ROUND(Inputs!N20*(1+Inputs!O20*Inputs!$G$42),0))</f>
        <v>0</v>
      </c>
      <c r="K18" s="35">
        <f>MIN(J18,IFERROR(ROUND(Inputs!$C$56*Inputs!N20/Inputs!$N$23,0),0))</f>
        <v>0</v>
      </c>
      <c r="L18" s="35">
        <f t="shared" si="1"/>
        <v>0</v>
      </c>
    </row>
    <row r="19" spans="2:12" x14ac:dyDescent="0.3">
      <c r="B19" s="30" t="str">
        <f>Inputs!B21</f>
        <v>AS</v>
      </c>
      <c r="C19" s="35">
        <f>Inputs!C21</f>
        <v>26</v>
      </c>
      <c r="D19" s="35">
        <f>MIN((Inputs!F21-Inputs!C21),MAX(0,ROUND(Inputs!G21+Inputs!H21*Inputs!$E$42,0)))</f>
        <v>7</v>
      </c>
      <c r="E19" s="35">
        <f t="shared" si="0"/>
        <v>33</v>
      </c>
      <c r="F19" s="36">
        <f>(C19-J19+D19)*Inputs!D21*(1+Inputs!E21)+K19*Inputs!D21*(1+Inputs!$F$53)</f>
        <v>11642400</v>
      </c>
      <c r="G19" s="37">
        <f>MIN(1,MAX(0,Inputs!I21+Inputs!J21*Inputs!$F$42))</f>
        <v>0</v>
      </c>
      <c r="H19" s="36">
        <f>(C19-L19)*G19*Inputs!L21</f>
        <v>0</v>
      </c>
      <c r="I19" s="36">
        <f>D19*Inputs!M21</f>
        <v>0</v>
      </c>
      <c r="J19" s="35">
        <f>MAX(0,ROUND(Inputs!N21*(1+Inputs!O21*Inputs!$G$42),0))</f>
        <v>0</v>
      </c>
      <c r="K19" s="35">
        <f>MIN(J19,IFERROR(ROUND(Inputs!$C$56*Inputs!N21/Inputs!$N$23,0),0))</f>
        <v>0</v>
      </c>
      <c r="L19" s="35">
        <f t="shared" si="1"/>
        <v>0</v>
      </c>
    </row>
    <row r="20" spans="2:12" x14ac:dyDescent="0.3">
      <c r="B20" s="30" t="str">
        <f>Inputs!B22</f>
        <v>A2</v>
      </c>
      <c r="C20" s="35">
        <f>Inputs!C22</f>
        <v>29</v>
      </c>
      <c r="D20" s="35">
        <f>MIN((Inputs!F22-Inputs!C22),MAX(0,ROUND(Inputs!G22+Inputs!H22*Inputs!$E$42,0)))</f>
        <v>0</v>
      </c>
      <c r="E20" s="35">
        <f t="shared" si="0"/>
        <v>29</v>
      </c>
      <c r="F20" s="36">
        <f>(C20-J20+D20)*Inputs!D22*(1+Inputs!E22)+K20*Inputs!D22*(1+Inputs!$F$53)</f>
        <v>10648800</v>
      </c>
      <c r="G20" s="37">
        <f>MIN(1,MAX(0,Inputs!I22+Inputs!J22*Inputs!$F$42))</f>
        <v>0</v>
      </c>
      <c r="H20" s="36">
        <f>(C20-L20)*G20*Inputs!L22</f>
        <v>0</v>
      </c>
      <c r="I20" s="36">
        <f>D20*Inputs!M22</f>
        <v>0</v>
      </c>
      <c r="J20" s="35">
        <f>MAX(0,ROUND(Inputs!N22*(1+Inputs!O22*Inputs!$G$42),0))</f>
        <v>0</v>
      </c>
      <c r="K20" s="35">
        <f>MIN(J20,IFERROR(ROUND(Inputs!$C$56*Inputs!N22/Inputs!$N$23,0),0))</f>
        <v>0</v>
      </c>
      <c r="L20" s="35">
        <f t="shared" si="1"/>
        <v>0</v>
      </c>
    </row>
    <row r="21" spans="2:12" x14ac:dyDescent="0.3">
      <c r="B21" s="17" t="s">
        <v>63</v>
      </c>
      <c r="C21" s="32">
        <f>SUM(C6:C20)</f>
        <v>366</v>
      </c>
      <c r="D21" s="32">
        <f>SUM(D6:D20)</f>
        <v>34</v>
      </c>
      <c r="E21" s="32">
        <f>SUM(E6:E20)</f>
        <v>372</v>
      </c>
      <c r="F21" s="33">
        <f>SUM(F6:F20)</f>
        <v>116956730</v>
      </c>
      <c r="G21" s="34"/>
      <c r="H21" s="33">
        <f>SUM(H6:H20)</f>
        <v>0</v>
      </c>
      <c r="I21" s="33">
        <f>SUM(I6:I20)</f>
        <v>700000</v>
      </c>
      <c r="J21" s="32">
        <f>SUM(J6:J20)</f>
        <v>45</v>
      </c>
      <c r="K21" s="32">
        <f>SUM(K6:K20)</f>
        <v>17</v>
      </c>
      <c r="L21" s="32">
        <f>SUM(L6:L20)</f>
        <v>28</v>
      </c>
    </row>
    <row r="24" spans="2:12" x14ac:dyDescent="0.3">
      <c r="B24" s="42" t="s">
        <v>141</v>
      </c>
      <c r="C24" s="42"/>
      <c r="D24" s="42"/>
      <c r="E24" s="42"/>
      <c r="F24" s="42"/>
      <c r="G24" s="42"/>
      <c r="H24" s="42"/>
      <c r="I24" s="42"/>
      <c r="J24" s="42"/>
      <c r="K24" s="42"/>
      <c r="L24" s="42"/>
    </row>
    <row r="25" spans="2:12" ht="27.75" customHeight="1" x14ac:dyDescent="0.3">
      <c r="B25" s="6" t="s">
        <v>32</v>
      </c>
      <c r="C25" s="6" t="s">
        <v>33</v>
      </c>
      <c r="D25" s="6" t="s">
        <v>129</v>
      </c>
      <c r="E25" s="6" t="s">
        <v>130</v>
      </c>
      <c r="F25" s="6" t="s">
        <v>131</v>
      </c>
      <c r="G25" s="6" t="s">
        <v>132</v>
      </c>
      <c r="H25" s="6" t="s">
        <v>133</v>
      </c>
      <c r="I25" s="6" t="s">
        <v>134</v>
      </c>
      <c r="J25" s="6" t="s">
        <v>139</v>
      </c>
      <c r="K25" s="6" t="s">
        <v>140</v>
      </c>
      <c r="L25" s="6" t="s">
        <v>135</v>
      </c>
    </row>
    <row r="26" spans="2:12" x14ac:dyDescent="0.3">
      <c r="B26" s="30" t="str">
        <f>Inputs!B8</f>
        <v>Pre-KG</v>
      </c>
      <c r="C26" s="35">
        <f>Inputs!C8</f>
        <v>0</v>
      </c>
      <c r="D26" s="35">
        <f>MIN((Inputs!F8-Inputs!C8),MAX(0,ROUND(Inputs!G8*Inputs!$E$43,0)))</f>
        <v>0</v>
      </c>
      <c r="E26" s="35">
        <f t="shared" ref="E26:E40" si="2">C26-L26+D26</f>
        <v>0</v>
      </c>
      <c r="F26" s="36">
        <f>(C26-J26+D26)*Inputs!D8*(1+Inputs!E8)+K26*Inputs!D8*(1+Inputs!$F$53)</f>
        <v>0</v>
      </c>
      <c r="G26" s="37">
        <f>Inputs!I8</f>
        <v>0</v>
      </c>
      <c r="H26" s="36">
        <f>(C26-L26)*G26*Inputs!L8</f>
        <v>0</v>
      </c>
      <c r="I26" s="36">
        <f>D26*Inputs!M8</f>
        <v>0</v>
      </c>
      <c r="J26" s="35">
        <f>Inputs!N8</f>
        <v>0</v>
      </c>
      <c r="K26" s="35">
        <f>MIN(J26,IFERROR(ROUND(Inputs!$C$57*Inputs!N8/Inputs!$N$23,0),0))</f>
        <v>0</v>
      </c>
      <c r="L26" s="35">
        <f t="shared" ref="L26:L40" si="3">J26-K26</f>
        <v>0</v>
      </c>
    </row>
    <row r="27" spans="2:12" x14ac:dyDescent="0.3">
      <c r="B27" s="30" t="str">
        <f>Inputs!B9</f>
        <v>LKG</v>
      </c>
      <c r="C27" s="35">
        <f>Inputs!C9</f>
        <v>4</v>
      </c>
      <c r="D27" s="35">
        <f>MIN((Inputs!F9-Inputs!C9),MAX(0,ROUND(Inputs!G9*Inputs!$E$43,0)))</f>
        <v>15</v>
      </c>
      <c r="E27" s="35">
        <f t="shared" si="2"/>
        <v>19</v>
      </c>
      <c r="F27" s="36">
        <f>(C27-J27+D27)*Inputs!D9*(1+Inputs!E9)+K27*Inputs!D9*(1+Inputs!$F$53)</f>
        <v>4560000</v>
      </c>
      <c r="G27" s="37">
        <f>Inputs!I9</f>
        <v>0</v>
      </c>
      <c r="H27" s="36">
        <f>(C27-L27)*G27*Inputs!L9</f>
        <v>0</v>
      </c>
      <c r="I27" s="36">
        <f>D27*Inputs!M9</f>
        <v>0</v>
      </c>
      <c r="J27" s="35">
        <f>Inputs!N9</f>
        <v>0</v>
      </c>
      <c r="K27" s="35">
        <f>MIN(J27,IFERROR(ROUND(Inputs!$C$57*Inputs!N9/Inputs!$N$23,0),0))</f>
        <v>0</v>
      </c>
      <c r="L27" s="35">
        <f t="shared" si="3"/>
        <v>0</v>
      </c>
    </row>
    <row r="28" spans="2:12" x14ac:dyDescent="0.3">
      <c r="B28" s="30" t="str">
        <f>Inputs!B10</f>
        <v>UKG</v>
      </c>
      <c r="C28" s="35">
        <f>Inputs!C10</f>
        <v>15</v>
      </c>
      <c r="D28" s="35">
        <f>MIN((Inputs!F10-Inputs!C10),MAX(0,ROUND(Inputs!G10*Inputs!$E$43,0)))</f>
        <v>7</v>
      </c>
      <c r="E28" s="35">
        <f t="shared" si="2"/>
        <v>22</v>
      </c>
      <c r="F28" s="36">
        <f>(C28-J28+D28)*Inputs!D10*(1+Inputs!E10)+K28*Inputs!D10*(1+Inputs!$F$53)</f>
        <v>5280000</v>
      </c>
      <c r="G28" s="37">
        <f>Inputs!I10</f>
        <v>0</v>
      </c>
      <c r="H28" s="36">
        <f>(C28-L28)*G28*Inputs!L10</f>
        <v>0</v>
      </c>
      <c r="I28" s="36">
        <f>D28*Inputs!M10</f>
        <v>0</v>
      </c>
      <c r="J28" s="35">
        <f>Inputs!N10</f>
        <v>0</v>
      </c>
      <c r="K28" s="35">
        <f>MIN(J28,IFERROR(ROUND(Inputs!$C$57*Inputs!N10/Inputs!$N$23,0),0))</f>
        <v>0</v>
      </c>
      <c r="L28" s="35">
        <f t="shared" si="3"/>
        <v>0</v>
      </c>
    </row>
    <row r="29" spans="2:12" x14ac:dyDescent="0.3">
      <c r="B29" s="30" t="str">
        <f>Inputs!B11</f>
        <v>I</v>
      </c>
      <c r="C29" s="35">
        <f>Inputs!C11</f>
        <v>23</v>
      </c>
      <c r="D29" s="35">
        <f>MIN((Inputs!F11-Inputs!C11),MAX(0,ROUND(Inputs!G11*Inputs!$E$43,0)))</f>
        <v>7</v>
      </c>
      <c r="E29" s="35">
        <f t="shared" si="2"/>
        <v>30</v>
      </c>
      <c r="F29" s="36">
        <f>(C29-J29+D29)*Inputs!D11*(1+Inputs!E11)+K29*Inputs!D11*(1+Inputs!$F$53)</f>
        <v>6510000</v>
      </c>
      <c r="G29" s="37">
        <f>Inputs!I11</f>
        <v>0</v>
      </c>
      <c r="H29" s="36">
        <f>(C29-L29)*G29*Inputs!L11</f>
        <v>0</v>
      </c>
      <c r="I29" s="36">
        <f>D29*Inputs!M11</f>
        <v>0</v>
      </c>
      <c r="J29" s="35">
        <f>Inputs!N11</f>
        <v>0</v>
      </c>
      <c r="K29" s="35">
        <f>MIN(J29,IFERROR(ROUND(Inputs!$C$57*Inputs!N11/Inputs!$N$23,0),0))</f>
        <v>0</v>
      </c>
      <c r="L29" s="35">
        <f t="shared" si="3"/>
        <v>0</v>
      </c>
    </row>
    <row r="30" spans="2:12" x14ac:dyDescent="0.3">
      <c r="B30" s="30" t="str">
        <f>Inputs!B12</f>
        <v>II</v>
      </c>
      <c r="C30" s="35">
        <f>Inputs!C12</f>
        <v>33</v>
      </c>
      <c r="D30" s="35">
        <f>MIN((Inputs!F12-Inputs!C12),MAX(0,ROUND(Inputs!G12*Inputs!$E$43,0)))</f>
        <v>0</v>
      </c>
      <c r="E30" s="35">
        <f t="shared" si="2"/>
        <v>33</v>
      </c>
      <c r="F30" s="36">
        <f>(C30-J30+D30)*Inputs!D12*(1+Inputs!E12)+K30*Inputs!D12*(1+Inputs!$F$53)</f>
        <v>8517250</v>
      </c>
      <c r="G30" s="37">
        <f>Inputs!I12</f>
        <v>0</v>
      </c>
      <c r="H30" s="36">
        <f>(C30-L30)*G30*Inputs!L12</f>
        <v>0</v>
      </c>
      <c r="I30" s="36">
        <f>D30*Inputs!M12</f>
        <v>0</v>
      </c>
      <c r="J30" s="35">
        <f>Inputs!N12</f>
        <v>5</v>
      </c>
      <c r="K30" s="35">
        <f>MIN(J30,IFERROR(ROUND(Inputs!$C$57*Inputs!N12/Inputs!$N$23,0),0))</f>
        <v>5</v>
      </c>
      <c r="L30" s="35">
        <f t="shared" si="3"/>
        <v>0</v>
      </c>
    </row>
    <row r="31" spans="2:12" x14ac:dyDescent="0.3">
      <c r="B31" s="30" t="str">
        <f>Inputs!B13</f>
        <v>III</v>
      </c>
      <c r="C31" s="35">
        <f>Inputs!C13</f>
        <v>34</v>
      </c>
      <c r="D31" s="35">
        <f>MIN((Inputs!F13-Inputs!C13),MAX(0,ROUND(Inputs!G13*Inputs!$E$43,0)))</f>
        <v>0</v>
      </c>
      <c r="E31" s="35">
        <f t="shared" si="2"/>
        <v>34</v>
      </c>
      <c r="F31" s="36">
        <f>(C31-J31+D31)*Inputs!D13*(1+Inputs!E13)+K31*Inputs!D13*(1+Inputs!$F$53)</f>
        <v>9182150</v>
      </c>
      <c r="G31" s="37">
        <f>Inputs!I13</f>
        <v>0</v>
      </c>
      <c r="H31" s="36">
        <f>(C31-L31)*G31*Inputs!L13</f>
        <v>0</v>
      </c>
      <c r="I31" s="36">
        <f>D31*Inputs!M13</f>
        <v>0</v>
      </c>
      <c r="J31" s="35">
        <f>Inputs!N13</f>
        <v>5</v>
      </c>
      <c r="K31" s="35">
        <f>MIN(J31,IFERROR(ROUND(Inputs!$C$57*Inputs!N13/Inputs!$N$23,0),0))</f>
        <v>5</v>
      </c>
      <c r="L31" s="35">
        <f t="shared" si="3"/>
        <v>0</v>
      </c>
    </row>
    <row r="32" spans="2:12" x14ac:dyDescent="0.3">
      <c r="B32" s="30" t="str">
        <f>Inputs!B14</f>
        <v>IV</v>
      </c>
      <c r="C32" s="35">
        <f>Inputs!C14</f>
        <v>32</v>
      </c>
      <c r="D32" s="35">
        <f>MIN((Inputs!F14-Inputs!C14),MAX(0,ROUND(Inputs!G14*Inputs!$E$43,0)))</f>
        <v>0</v>
      </c>
      <c r="E32" s="35">
        <f t="shared" si="2"/>
        <v>32</v>
      </c>
      <c r="F32" s="36">
        <f>(C32-J32+D32)*Inputs!D14*(1+Inputs!E14)+K32*Inputs!D14*(1+Inputs!$F$53)</f>
        <v>8827600</v>
      </c>
      <c r="G32" s="37">
        <f>Inputs!I14</f>
        <v>0</v>
      </c>
      <c r="H32" s="36">
        <f>(C32-L32)*G32*Inputs!L14</f>
        <v>0</v>
      </c>
      <c r="I32" s="36">
        <f>D32*Inputs!M14</f>
        <v>0</v>
      </c>
      <c r="J32" s="35">
        <f>Inputs!N14</f>
        <v>5</v>
      </c>
      <c r="K32" s="35">
        <f>MIN(J32,IFERROR(ROUND(Inputs!$C$57*Inputs!N14/Inputs!$N$23,0),0))</f>
        <v>5</v>
      </c>
      <c r="L32" s="35">
        <f t="shared" si="3"/>
        <v>0</v>
      </c>
    </row>
    <row r="33" spans="2:12" x14ac:dyDescent="0.3">
      <c r="B33" s="30" t="str">
        <f>Inputs!B15</f>
        <v>V</v>
      </c>
      <c r="C33" s="35">
        <f>Inputs!C15</f>
        <v>31</v>
      </c>
      <c r="D33" s="35">
        <f>MIN((Inputs!F15-Inputs!C15),MAX(0,ROUND(Inputs!G15*Inputs!$E$43,0)))</f>
        <v>1</v>
      </c>
      <c r="E33" s="35">
        <f t="shared" si="2"/>
        <v>32</v>
      </c>
      <c r="F33" s="36">
        <f>(C33-J33+D33)*Inputs!D15*(1+Inputs!E15)+K33*Inputs!D15*(1+Inputs!$F$53)</f>
        <v>9664700</v>
      </c>
      <c r="G33" s="37">
        <f>Inputs!I15</f>
        <v>0</v>
      </c>
      <c r="H33" s="36">
        <f>(C33-L33)*G33*Inputs!L15</f>
        <v>0</v>
      </c>
      <c r="I33" s="36">
        <f>D33*Inputs!M15</f>
        <v>100000</v>
      </c>
      <c r="J33" s="35">
        <f>Inputs!N15</f>
        <v>5</v>
      </c>
      <c r="K33" s="35">
        <f>MIN(J33,IFERROR(ROUND(Inputs!$C$57*Inputs!N15/Inputs!$N$23,0),0))</f>
        <v>5</v>
      </c>
      <c r="L33" s="35">
        <f t="shared" si="3"/>
        <v>0</v>
      </c>
    </row>
    <row r="34" spans="2:12" x14ac:dyDescent="0.3">
      <c r="B34" s="30" t="str">
        <f>Inputs!B16</f>
        <v>VI</v>
      </c>
      <c r="C34" s="35">
        <f>Inputs!C16</f>
        <v>31</v>
      </c>
      <c r="D34" s="35">
        <f>MIN((Inputs!F16-Inputs!C16),MAX(0,ROUND(Inputs!G16*Inputs!$E$43,0)))</f>
        <v>1</v>
      </c>
      <c r="E34" s="35">
        <f t="shared" si="2"/>
        <v>32</v>
      </c>
      <c r="F34" s="36">
        <f>(C34-J34+D34)*Inputs!D16*(1+Inputs!E16)+K34*Inputs!D16*(1+Inputs!$F$53)</f>
        <v>10311300</v>
      </c>
      <c r="G34" s="37">
        <f>Inputs!I16</f>
        <v>0.2</v>
      </c>
      <c r="H34" s="36">
        <f>(C34-L34)*G34*Inputs!L16</f>
        <v>0</v>
      </c>
      <c r="I34" s="36">
        <f>D34*Inputs!M16</f>
        <v>100000</v>
      </c>
      <c r="J34" s="35">
        <f>Inputs!N16</f>
        <v>3</v>
      </c>
      <c r="K34" s="35">
        <f>MIN(J34,IFERROR(ROUND(Inputs!$C$57*Inputs!N16/Inputs!$N$23,0),0))</f>
        <v>3</v>
      </c>
      <c r="L34" s="35">
        <f t="shared" si="3"/>
        <v>0</v>
      </c>
    </row>
    <row r="35" spans="2:12" x14ac:dyDescent="0.3">
      <c r="B35" s="30" t="str">
        <f>Inputs!B17</f>
        <v>VII</v>
      </c>
      <c r="C35" s="35">
        <f>Inputs!C17</f>
        <v>27</v>
      </c>
      <c r="D35" s="35">
        <f>MIN((Inputs!F17-Inputs!C17),MAX(0,ROUND(Inputs!G17*Inputs!$E$43,0)))</f>
        <v>2</v>
      </c>
      <c r="E35" s="35">
        <f t="shared" si="2"/>
        <v>29</v>
      </c>
      <c r="F35" s="36">
        <f>(C35-J35+D35)*Inputs!D17*(1+Inputs!E17)+K35*Inputs!D17*(1+Inputs!$F$53)</f>
        <v>9982080</v>
      </c>
      <c r="G35" s="37">
        <f>Inputs!I17</f>
        <v>0.2</v>
      </c>
      <c r="H35" s="36">
        <f>(C35-L35)*G35*Inputs!L17</f>
        <v>0</v>
      </c>
      <c r="I35" s="36">
        <f>D35*Inputs!M17</f>
        <v>200000</v>
      </c>
      <c r="J35" s="35">
        <f>Inputs!N17</f>
        <v>2</v>
      </c>
      <c r="K35" s="35">
        <f>MIN(J35,IFERROR(ROUND(Inputs!$C$57*Inputs!N17/Inputs!$N$23,0),0))</f>
        <v>2</v>
      </c>
      <c r="L35" s="35">
        <f t="shared" si="3"/>
        <v>0</v>
      </c>
    </row>
    <row r="36" spans="2:12" x14ac:dyDescent="0.3">
      <c r="B36" s="30" t="str">
        <f>Inputs!B18</f>
        <v>VIII</v>
      </c>
      <c r="C36" s="35">
        <f>Inputs!C18</f>
        <v>25</v>
      </c>
      <c r="D36" s="35">
        <f>MIN((Inputs!F18-Inputs!C18),MAX(0,ROUND(Inputs!G18*Inputs!$E$43,0)))</f>
        <v>3</v>
      </c>
      <c r="E36" s="35">
        <f t="shared" si="2"/>
        <v>28</v>
      </c>
      <c r="F36" s="36">
        <f>(C36-J36+D36)*Inputs!D18*(1+Inputs!E18)+K36*Inputs!D18*(1+Inputs!$F$53)</f>
        <v>10171840</v>
      </c>
      <c r="G36" s="37">
        <f>Inputs!I18</f>
        <v>0.3</v>
      </c>
      <c r="H36" s="36">
        <f>(C36-L36)*G36*Inputs!L18</f>
        <v>0</v>
      </c>
      <c r="I36" s="36">
        <f>D36*Inputs!M18</f>
        <v>300000</v>
      </c>
      <c r="J36" s="35">
        <f>Inputs!N18</f>
        <v>2</v>
      </c>
      <c r="K36" s="35">
        <f>MIN(J36,IFERROR(ROUND(Inputs!$C$57*Inputs!N18/Inputs!$N$23,0),0))</f>
        <v>2</v>
      </c>
      <c r="L36" s="35">
        <f t="shared" si="3"/>
        <v>0</v>
      </c>
    </row>
    <row r="37" spans="2:12" x14ac:dyDescent="0.3">
      <c r="B37" s="30" t="str">
        <f>Inputs!B19</f>
        <v>IX</v>
      </c>
      <c r="C37" s="35">
        <f>Inputs!C19</f>
        <v>26</v>
      </c>
      <c r="D37" s="35">
        <f>MIN((Inputs!F19-Inputs!C19),MAX(0,ROUND(Inputs!G19*Inputs!$E$43,0)))</f>
        <v>3</v>
      </c>
      <c r="E37" s="35">
        <f t="shared" si="2"/>
        <v>29</v>
      </c>
      <c r="F37" s="36">
        <f>(C37-J37+D37)*Inputs!D19*(1+Inputs!E19)+K37*Inputs!D19*(1+Inputs!$F$53)</f>
        <v>11078870</v>
      </c>
      <c r="G37" s="37">
        <f>Inputs!I19</f>
        <v>0.3</v>
      </c>
      <c r="H37" s="36">
        <f>(C37-L37)*G37*Inputs!L19</f>
        <v>0</v>
      </c>
      <c r="I37" s="36">
        <f>D37*Inputs!M19</f>
        <v>300000</v>
      </c>
      <c r="J37" s="35">
        <f>Inputs!N19</f>
        <v>1</v>
      </c>
      <c r="K37" s="35">
        <f>MIN(J37,IFERROR(ROUND(Inputs!$C$57*Inputs!N19/Inputs!$N$23,0),0))</f>
        <v>1</v>
      </c>
      <c r="L37" s="35">
        <f t="shared" si="3"/>
        <v>0</v>
      </c>
    </row>
    <row r="38" spans="2:12" x14ac:dyDescent="0.3">
      <c r="B38" s="30" t="str">
        <f>Inputs!B20</f>
        <v>X</v>
      </c>
      <c r="C38" s="35">
        <f>Inputs!C20</f>
        <v>30</v>
      </c>
      <c r="D38" s="35">
        <f>MIN((Inputs!F20-Inputs!C20),MAX(0,ROUND(Inputs!G20*Inputs!$E$43,0)))</f>
        <v>0</v>
      </c>
      <c r="E38" s="35">
        <f t="shared" si="2"/>
        <v>30</v>
      </c>
      <c r="F38" s="36">
        <f>(C38-J38+D38)*Inputs!D20*(1+Inputs!E20)+K38*Inputs!D20*(1+Inputs!$F$53)</f>
        <v>11952000</v>
      </c>
      <c r="G38" s="37">
        <f>Inputs!I20</f>
        <v>0.2</v>
      </c>
      <c r="H38" s="36">
        <f>(C38-L38)*G38*Inputs!L20</f>
        <v>0</v>
      </c>
      <c r="I38" s="36">
        <f>D38*Inputs!M20</f>
        <v>0</v>
      </c>
      <c r="J38" s="35">
        <f>Inputs!N20</f>
        <v>0</v>
      </c>
      <c r="K38" s="35">
        <f>MIN(J38,IFERROR(ROUND(Inputs!$C$57*Inputs!N20/Inputs!$N$23,0),0))</f>
        <v>0</v>
      </c>
      <c r="L38" s="35">
        <f t="shared" si="3"/>
        <v>0</v>
      </c>
    </row>
    <row r="39" spans="2:12" x14ac:dyDescent="0.3">
      <c r="B39" s="30" t="str">
        <f>Inputs!B21</f>
        <v>AS</v>
      </c>
      <c r="C39" s="35">
        <f>Inputs!C21</f>
        <v>26</v>
      </c>
      <c r="D39" s="35">
        <f>MIN((Inputs!F21-Inputs!C21),MAX(0,ROUND(Inputs!G21*Inputs!$E$43,0)))</f>
        <v>10</v>
      </c>
      <c r="E39" s="35">
        <f t="shared" si="2"/>
        <v>36</v>
      </c>
      <c r="F39" s="36">
        <f>(C39-J39+D39)*Inputs!D21*(1+Inputs!E21)+K39*Inputs!D21*(1+Inputs!$F$53)</f>
        <v>12700800</v>
      </c>
      <c r="G39" s="37">
        <f>Inputs!I21</f>
        <v>0.1</v>
      </c>
      <c r="H39" s="36">
        <f>(C39-L39)*G39*Inputs!L21</f>
        <v>0</v>
      </c>
      <c r="I39" s="36">
        <f>D39*Inputs!M21</f>
        <v>0</v>
      </c>
      <c r="J39" s="35">
        <f>Inputs!N21</f>
        <v>0</v>
      </c>
      <c r="K39" s="35">
        <f>MIN(J39,IFERROR(ROUND(Inputs!$C$57*Inputs!N21/Inputs!$N$23,0),0))</f>
        <v>0</v>
      </c>
      <c r="L39" s="35">
        <f t="shared" si="3"/>
        <v>0</v>
      </c>
    </row>
    <row r="40" spans="2:12" x14ac:dyDescent="0.3">
      <c r="B40" s="30" t="str">
        <f>Inputs!B22</f>
        <v>A2</v>
      </c>
      <c r="C40" s="35">
        <f>Inputs!C22</f>
        <v>29</v>
      </c>
      <c r="D40" s="35">
        <f>MIN((Inputs!F22-Inputs!C22),MAX(0,ROUND(Inputs!G22*Inputs!$E$43,0)))</f>
        <v>0</v>
      </c>
      <c r="E40" s="35">
        <f t="shared" si="2"/>
        <v>29</v>
      </c>
      <c r="F40" s="36">
        <f>(C40-J40+D40)*Inputs!D22*(1+Inputs!E22)+K40*Inputs!D22*(1+Inputs!$F$53)</f>
        <v>10648800</v>
      </c>
      <c r="G40" s="37">
        <f>Inputs!I22</f>
        <v>0</v>
      </c>
      <c r="H40" s="36">
        <f>(C40-L40)*G40*Inputs!L22</f>
        <v>0</v>
      </c>
      <c r="I40" s="36">
        <f>D40*Inputs!M22</f>
        <v>0</v>
      </c>
      <c r="J40" s="35">
        <f>Inputs!N22</f>
        <v>0</v>
      </c>
      <c r="K40" s="35">
        <f>MIN(J40,IFERROR(ROUND(Inputs!$C$57*Inputs!N22/Inputs!$N$23,0),0))</f>
        <v>0</v>
      </c>
      <c r="L40" s="35">
        <f t="shared" si="3"/>
        <v>0</v>
      </c>
    </row>
    <row r="41" spans="2:12" x14ac:dyDescent="0.3">
      <c r="B41" s="17" t="s">
        <v>63</v>
      </c>
      <c r="C41" s="32">
        <f>SUM(C26:C40)</f>
        <v>366</v>
      </c>
      <c r="D41" s="32">
        <f>SUM(D26:D40)</f>
        <v>49</v>
      </c>
      <c r="E41" s="32">
        <f>SUM(E26:E40)</f>
        <v>415</v>
      </c>
      <c r="F41" s="33">
        <f>SUM(F26:F40)</f>
        <v>129387390</v>
      </c>
      <c r="G41" s="34"/>
      <c r="H41" s="33">
        <f>SUM(H26:H40)</f>
        <v>0</v>
      </c>
      <c r="I41" s="33">
        <f>SUM(I26:I40)</f>
        <v>1000000</v>
      </c>
      <c r="J41" s="32">
        <f>SUM(J26:J40)</f>
        <v>28</v>
      </c>
      <c r="K41" s="32">
        <f>SUM(K26:K40)</f>
        <v>28</v>
      </c>
      <c r="L41" s="32">
        <f>SUM(L26:L40)</f>
        <v>0</v>
      </c>
    </row>
    <row r="44" spans="2:12" x14ac:dyDescent="0.3">
      <c r="B44" s="42" t="s">
        <v>142</v>
      </c>
      <c r="C44" s="42"/>
      <c r="D44" s="42"/>
      <c r="E44" s="42"/>
      <c r="F44" s="42"/>
      <c r="G44" s="42"/>
      <c r="H44" s="42"/>
      <c r="I44" s="42"/>
      <c r="J44" s="42"/>
      <c r="K44" s="42"/>
      <c r="L44" s="42"/>
    </row>
    <row r="45" spans="2:12" ht="27.75" customHeight="1" x14ac:dyDescent="0.3">
      <c r="B45" s="6" t="s">
        <v>32</v>
      </c>
      <c r="C45" s="6" t="s">
        <v>33</v>
      </c>
      <c r="D45" s="6" t="s">
        <v>129</v>
      </c>
      <c r="E45" s="6" t="s">
        <v>130</v>
      </c>
      <c r="F45" s="6" t="s">
        <v>131</v>
      </c>
      <c r="G45" s="6" t="s">
        <v>132</v>
      </c>
      <c r="H45" s="6" t="s">
        <v>133</v>
      </c>
      <c r="I45" s="6" t="s">
        <v>134</v>
      </c>
      <c r="J45" s="6" t="s">
        <v>139</v>
      </c>
      <c r="K45" s="6" t="s">
        <v>140</v>
      </c>
      <c r="L45" s="6" t="s">
        <v>135</v>
      </c>
    </row>
    <row r="46" spans="2:12" x14ac:dyDescent="0.3">
      <c r="B46" s="30" t="str">
        <f>Inputs!B8</f>
        <v>Pre-KG</v>
      </c>
      <c r="C46" s="35">
        <f>Inputs!C8</f>
        <v>0</v>
      </c>
      <c r="D46" s="35">
        <f>MIN((Inputs!F8-Inputs!C8),MAX(0,ROUND(Inputs!G8+Inputs!Q8*Inputs!$E$44,0)))</f>
        <v>0</v>
      </c>
      <c r="E46" s="35">
        <f t="shared" ref="E46:E60" si="4">C46-L46+D46</f>
        <v>0</v>
      </c>
      <c r="F46" s="36">
        <f>(C46-J46+D46)*Inputs!D8*(1+Inputs!E8)+K46*Inputs!D8*(1+Inputs!$F$53)</f>
        <v>0</v>
      </c>
      <c r="G46" s="37">
        <f>MIN(1,MAX(0,Inputs!I8+Inputs!K8*Inputs!$F$44))</f>
        <v>0</v>
      </c>
      <c r="H46" s="36">
        <f>(C46-L46)*G46*Inputs!L8</f>
        <v>0</v>
      </c>
      <c r="I46" s="36">
        <f>D46*Inputs!M8</f>
        <v>0</v>
      </c>
      <c r="J46" s="35">
        <f>MAX(0,ROUND(Inputs!N8*(1+Inputs!P8*Inputs!$G$44),0))</f>
        <v>0</v>
      </c>
      <c r="K46" s="35">
        <f>MIN(J46,IFERROR(ROUND(Inputs!$C$58*Inputs!N8/Inputs!$N$23,0),0))</f>
        <v>0</v>
      </c>
      <c r="L46" s="35">
        <f t="shared" ref="L46:L60" si="5">J46-K46</f>
        <v>0</v>
      </c>
    </row>
    <row r="47" spans="2:12" x14ac:dyDescent="0.3">
      <c r="B47" s="30" t="str">
        <f>Inputs!B9</f>
        <v>LKG</v>
      </c>
      <c r="C47" s="35">
        <f>Inputs!C9</f>
        <v>4</v>
      </c>
      <c r="D47" s="35">
        <f>MIN((Inputs!F9-Inputs!C9),MAX(0,ROUND(Inputs!G9+Inputs!Q9*Inputs!$E$44,0)))</f>
        <v>26</v>
      </c>
      <c r="E47" s="35">
        <f t="shared" si="4"/>
        <v>30</v>
      </c>
      <c r="F47" s="36">
        <f>(C47-J47+D47)*Inputs!D9*(1+Inputs!E9)+K47*Inputs!D9*(1+Inputs!$F$53)</f>
        <v>7200000</v>
      </c>
      <c r="G47" s="37">
        <f>MIN(1,MAX(0,Inputs!I9+Inputs!K9*Inputs!$F$44))</f>
        <v>0</v>
      </c>
      <c r="H47" s="36">
        <f>(C47-L47)*G47*Inputs!L9</f>
        <v>0</v>
      </c>
      <c r="I47" s="36">
        <f>D47*Inputs!M9</f>
        <v>0</v>
      </c>
      <c r="J47" s="35">
        <f>MAX(0,ROUND(Inputs!N9*(1+Inputs!P9*Inputs!$G$44),0))</f>
        <v>0</v>
      </c>
      <c r="K47" s="35">
        <f>MIN(J47,IFERROR(ROUND(Inputs!$C$58*Inputs!N9/Inputs!$N$23,0),0))</f>
        <v>0</v>
      </c>
      <c r="L47" s="35">
        <f t="shared" si="5"/>
        <v>0</v>
      </c>
    </row>
    <row r="48" spans="2:12" x14ac:dyDescent="0.3">
      <c r="B48" s="30" t="str">
        <f>Inputs!B10</f>
        <v>UKG</v>
      </c>
      <c r="C48" s="35">
        <f>Inputs!C10</f>
        <v>15</v>
      </c>
      <c r="D48" s="35">
        <f>MIN((Inputs!F10-Inputs!C10),MAX(0,ROUND(Inputs!G10+Inputs!Q10*Inputs!$E$44,0)))</f>
        <v>15</v>
      </c>
      <c r="E48" s="35">
        <f t="shared" si="4"/>
        <v>30</v>
      </c>
      <c r="F48" s="36">
        <f>(C48-J48+D48)*Inputs!D10*(1+Inputs!E10)+K48*Inputs!D10*(1+Inputs!$F$53)</f>
        <v>7200000</v>
      </c>
      <c r="G48" s="37">
        <f>MIN(1,MAX(0,Inputs!I10+Inputs!K10*Inputs!$F$44))</f>
        <v>0</v>
      </c>
      <c r="H48" s="36">
        <f>(C48-L48)*G48*Inputs!L10</f>
        <v>0</v>
      </c>
      <c r="I48" s="36">
        <f>D48*Inputs!M10</f>
        <v>0</v>
      </c>
      <c r="J48" s="35">
        <f>MAX(0,ROUND(Inputs!N10*(1+Inputs!P10*Inputs!$G$44),0))</f>
        <v>0</v>
      </c>
      <c r="K48" s="35">
        <f>MIN(J48,IFERROR(ROUND(Inputs!$C$58*Inputs!N10/Inputs!$N$23,0),0))</f>
        <v>0</v>
      </c>
      <c r="L48" s="35">
        <f t="shared" si="5"/>
        <v>0</v>
      </c>
    </row>
    <row r="49" spans="2:12" x14ac:dyDescent="0.3">
      <c r="B49" s="30" t="str">
        <f>Inputs!B11</f>
        <v>I</v>
      </c>
      <c r="C49" s="35">
        <f>Inputs!C11</f>
        <v>23</v>
      </c>
      <c r="D49" s="35">
        <f>MIN((Inputs!F11-Inputs!C11),MAX(0,ROUND(Inputs!G11+Inputs!Q11*Inputs!$E$44,0)))</f>
        <v>10</v>
      </c>
      <c r="E49" s="35">
        <f t="shared" si="4"/>
        <v>33</v>
      </c>
      <c r="F49" s="36">
        <f>(C49-J49+D49)*Inputs!D11*(1+Inputs!E11)+K49*Inputs!D11*(1+Inputs!$F$53)</f>
        <v>7161000</v>
      </c>
      <c r="G49" s="37">
        <f>MIN(1,MAX(0,Inputs!I11+Inputs!K11*Inputs!$F$44))</f>
        <v>0</v>
      </c>
      <c r="H49" s="36">
        <f>(C49-L49)*G49*Inputs!L11</f>
        <v>0</v>
      </c>
      <c r="I49" s="36">
        <f>D49*Inputs!M11</f>
        <v>0</v>
      </c>
      <c r="J49" s="35">
        <f>MAX(0,ROUND(Inputs!N11*(1+Inputs!P11*Inputs!$G$44),0))</f>
        <v>0</v>
      </c>
      <c r="K49" s="35">
        <f>MIN(J49,IFERROR(ROUND(Inputs!$C$58*Inputs!N11/Inputs!$N$23,0),0))</f>
        <v>0</v>
      </c>
      <c r="L49" s="35">
        <f t="shared" si="5"/>
        <v>0</v>
      </c>
    </row>
    <row r="50" spans="2:12" x14ac:dyDescent="0.3">
      <c r="B50" s="30" t="str">
        <f>Inputs!B12</f>
        <v>II</v>
      </c>
      <c r="C50" s="35">
        <f>Inputs!C12</f>
        <v>33</v>
      </c>
      <c r="D50" s="35">
        <f>MIN((Inputs!F12-Inputs!C12),MAX(0,ROUND(Inputs!G12+Inputs!Q12*Inputs!$E$44,0)))</f>
        <v>0</v>
      </c>
      <c r="E50" s="35">
        <f t="shared" si="4"/>
        <v>33</v>
      </c>
      <c r="F50" s="36">
        <f>(C50-J50+D50)*Inputs!D12*(1+Inputs!E12)+K50*Inputs!D12*(1+Inputs!$F$53)</f>
        <v>8547630</v>
      </c>
      <c r="G50" s="37">
        <f>MIN(1,MAX(0,Inputs!I12+Inputs!K12*Inputs!$F$44))</f>
        <v>0</v>
      </c>
      <c r="H50" s="36">
        <f>(C50-L50)*G50*Inputs!L12</f>
        <v>0</v>
      </c>
      <c r="I50" s="36">
        <f>D50*Inputs!M12</f>
        <v>0</v>
      </c>
      <c r="J50" s="35">
        <f>MAX(0,ROUND(Inputs!N12*(1+Inputs!P12*Inputs!$G$44),0))</f>
        <v>3</v>
      </c>
      <c r="K50" s="35">
        <f>MIN(J50,IFERROR(ROUND(Inputs!$C$58*Inputs!N12/Inputs!$N$23,0),0))</f>
        <v>3</v>
      </c>
      <c r="L50" s="35">
        <f t="shared" si="5"/>
        <v>0</v>
      </c>
    </row>
    <row r="51" spans="2:12" x14ac:dyDescent="0.3">
      <c r="B51" s="30" t="str">
        <f>Inputs!B13</f>
        <v>III</v>
      </c>
      <c r="C51" s="35">
        <f>Inputs!C13</f>
        <v>34</v>
      </c>
      <c r="D51" s="35">
        <f>MIN((Inputs!F13-Inputs!C13),MAX(0,ROUND(Inputs!G13+Inputs!Q13*Inputs!$E$44,0)))</f>
        <v>0</v>
      </c>
      <c r="E51" s="35">
        <f t="shared" si="4"/>
        <v>34</v>
      </c>
      <c r="F51" s="36">
        <f>(C51-J51+D51)*Inputs!D13*(1+Inputs!E13)+K51*Inputs!D13*(1+Inputs!$F$53)</f>
        <v>9213930</v>
      </c>
      <c r="G51" s="37">
        <f>MIN(1,MAX(0,Inputs!I13+Inputs!K13*Inputs!$F$44))</f>
        <v>0</v>
      </c>
      <c r="H51" s="36">
        <f>(C51-L51)*G51*Inputs!L13</f>
        <v>0</v>
      </c>
      <c r="I51" s="36">
        <f>D51*Inputs!M13</f>
        <v>0</v>
      </c>
      <c r="J51" s="35">
        <f>MAX(0,ROUND(Inputs!N13*(1+Inputs!P13*Inputs!$G$44),0))</f>
        <v>3</v>
      </c>
      <c r="K51" s="35">
        <f>MIN(J51,IFERROR(ROUND(Inputs!$C$58*Inputs!N13/Inputs!$N$23,0),0))</f>
        <v>3</v>
      </c>
      <c r="L51" s="35">
        <f t="shared" si="5"/>
        <v>0</v>
      </c>
    </row>
    <row r="52" spans="2:12" x14ac:dyDescent="0.3">
      <c r="B52" s="30" t="str">
        <f>Inputs!B14</f>
        <v>IV</v>
      </c>
      <c r="C52" s="35">
        <f>Inputs!C14</f>
        <v>32</v>
      </c>
      <c r="D52" s="35">
        <f>MIN((Inputs!F14-Inputs!C14),MAX(0,ROUND(Inputs!G14+Inputs!Q14*Inputs!$E$44,0)))</f>
        <v>0</v>
      </c>
      <c r="E52" s="35">
        <f t="shared" si="4"/>
        <v>32</v>
      </c>
      <c r="F52" s="36">
        <f>(C52-J52+D52)*Inputs!D14*(1+Inputs!E14)+K52*Inputs!D14*(1+Inputs!$F$53)</f>
        <v>8860080</v>
      </c>
      <c r="G52" s="37">
        <f>MIN(1,MAX(0,Inputs!I14+Inputs!K14*Inputs!$F$44))</f>
        <v>0</v>
      </c>
      <c r="H52" s="36">
        <f>(C52-L52)*G52*Inputs!L14</f>
        <v>0</v>
      </c>
      <c r="I52" s="36">
        <f>D52*Inputs!M14</f>
        <v>0</v>
      </c>
      <c r="J52" s="35">
        <f>MAX(0,ROUND(Inputs!N14*(1+Inputs!P14*Inputs!$G$44),0))</f>
        <v>3</v>
      </c>
      <c r="K52" s="35">
        <f>MIN(J52,IFERROR(ROUND(Inputs!$C$58*Inputs!N14/Inputs!$N$23,0),0))</f>
        <v>3</v>
      </c>
      <c r="L52" s="35">
        <f t="shared" si="5"/>
        <v>0</v>
      </c>
    </row>
    <row r="53" spans="2:12" x14ac:dyDescent="0.3">
      <c r="B53" s="30" t="str">
        <f>Inputs!B15</f>
        <v>V</v>
      </c>
      <c r="C53" s="35">
        <f>Inputs!C15</f>
        <v>31</v>
      </c>
      <c r="D53" s="35">
        <f>MIN((Inputs!F15-Inputs!C15),MAX(0,ROUND(Inputs!G15+Inputs!Q15*Inputs!$E$44,0)))</f>
        <v>1</v>
      </c>
      <c r="E53" s="35">
        <f t="shared" si="4"/>
        <v>32</v>
      </c>
      <c r="F53" s="36">
        <f>(C53-J53+D53)*Inputs!D15*(1+Inputs!E15)+K53*Inputs!D15*(1+Inputs!$F$53)</f>
        <v>9700260</v>
      </c>
      <c r="G53" s="37">
        <f>MIN(1,MAX(0,Inputs!I15+Inputs!K15*Inputs!$F$44))</f>
        <v>0</v>
      </c>
      <c r="H53" s="36">
        <f>(C53-L53)*G53*Inputs!L15</f>
        <v>0</v>
      </c>
      <c r="I53" s="36">
        <f>D53*Inputs!M15</f>
        <v>100000</v>
      </c>
      <c r="J53" s="35">
        <f>MAX(0,ROUND(Inputs!N15*(1+Inputs!P15*Inputs!$G$44),0))</f>
        <v>3</v>
      </c>
      <c r="K53" s="35">
        <f>MIN(J53,IFERROR(ROUND(Inputs!$C$58*Inputs!N15/Inputs!$N$23,0),0))</f>
        <v>3</v>
      </c>
      <c r="L53" s="35">
        <f t="shared" si="5"/>
        <v>0</v>
      </c>
    </row>
    <row r="54" spans="2:12" x14ac:dyDescent="0.3">
      <c r="B54" s="30" t="str">
        <f>Inputs!B16</f>
        <v>VI</v>
      </c>
      <c r="C54" s="35">
        <f>Inputs!C16</f>
        <v>31</v>
      </c>
      <c r="D54" s="35">
        <f>MIN((Inputs!F16-Inputs!C16),MAX(0,ROUND(Inputs!G16+Inputs!Q16*Inputs!$E$44,0)))</f>
        <v>1</v>
      </c>
      <c r="E54" s="35">
        <f t="shared" si="4"/>
        <v>32</v>
      </c>
      <c r="F54" s="36">
        <f>(C54-J54+D54)*Inputs!D16*(1+Inputs!E16)+K54*Inputs!D16*(1+Inputs!$F$53)</f>
        <v>10330200</v>
      </c>
      <c r="G54" s="37">
        <f>MIN(1,MAX(0,Inputs!I16+Inputs!K16*Inputs!$F$44))</f>
        <v>0.30000000000000004</v>
      </c>
      <c r="H54" s="36">
        <f>(C54-L54)*G54*Inputs!L16</f>
        <v>0</v>
      </c>
      <c r="I54" s="36">
        <f>D54*Inputs!M16</f>
        <v>100000</v>
      </c>
      <c r="J54" s="35">
        <f>MAX(0,ROUND(Inputs!N16*(1+Inputs!P16*Inputs!$G$44),0))</f>
        <v>2</v>
      </c>
      <c r="K54" s="35">
        <f>MIN(J54,IFERROR(ROUND(Inputs!$C$58*Inputs!N16/Inputs!$N$23,0),0))</f>
        <v>2</v>
      </c>
      <c r="L54" s="35">
        <f t="shared" si="5"/>
        <v>0</v>
      </c>
    </row>
    <row r="55" spans="2:12" x14ac:dyDescent="0.3">
      <c r="B55" s="30" t="str">
        <f>Inputs!B17</f>
        <v>VII</v>
      </c>
      <c r="C55" s="35">
        <f>Inputs!C17</f>
        <v>27</v>
      </c>
      <c r="D55" s="35">
        <f>MIN((Inputs!F17-Inputs!C17),MAX(0,ROUND(Inputs!G17+Inputs!Q17*Inputs!$E$44,0)))</f>
        <v>3</v>
      </c>
      <c r="E55" s="35">
        <f t="shared" si="4"/>
        <v>30</v>
      </c>
      <c r="F55" s="36">
        <f>(C55-J55+D55)*Inputs!D17*(1+Inputs!E17)+K55*Inputs!D17*(1+Inputs!$F$53)</f>
        <v>10347840</v>
      </c>
      <c r="G55" s="37">
        <f>MIN(1,MAX(0,Inputs!I17+Inputs!K17*Inputs!$F$44))</f>
        <v>0.30000000000000004</v>
      </c>
      <c r="H55" s="36">
        <f>(C55-L55)*G55*Inputs!L17</f>
        <v>0</v>
      </c>
      <c r="I55" s="36">
        <f>D55*Inputs!M17</f>
        <v>300000</v>
      </c>
      <c r="J55" s="35">
        <f>MAX(0,ROUND(Inputs!N17*(1+Inputs!P17*Inputs!$G$44),0))</f>
        <v>1</v>
      </c>
      <c r="K55" s="35">
        <f>MIN(J55,IFERROR(ROUND(Inputs!$C$58*Inputs!N17/Inputs!$N$23,0),0))</f>
        <v>1</v>
      </c>
      <c r="L55" s="35">
        <f t="shared" si="5"/>
        <v>0</v>
      </c>
    </row>
    <row r="56" spans="2:12" x14ac:dyDescent="0.3">
      <c r="B56" s="30" t="str">
        <f>Inputs!B18</f>
        <v>VIII</v>
      </c>
      <c r="C56" s="35">
        <f>Inputs!C18</f>
        <v>25</v>
      </c>
      <c r="D56" s="35">
        <f>MIN((Inputs!F18-Inputs!C18),MAX(0,ROUND(Inputs!G18+Inputs!Q18*Inputs!$E$44,0)))</f>
        <v>5</v>
      </c>
      <c r="E56" s="35">
        <f t="shared" si="4"/>
        <v>30</v>
      </c>
      <c r="F56" s="36">
        <f>(C56-J56+D56)*Inputs!D18*(1+Inputs!E18)+K56*Inputs!D18*(1+Inputs!$F$53)</f>
        <v>10922720</v>
      </c>
      <c r="G56" s="37">
        <f>MIN(1,MAX(0,Inputs!I18+Inputs!K18*Inputs!$F$44))</f>
        <v>0.4</v>
      </c>
      <c r="H56" s="36">
        <f>(C56-L56)*G56*Inputs!L18</f>
        <v>0</v>
      </c>
      <c r="I56" s="36">
        <f>D56*Inputs!M18</f>
        <v>500000</v>
      </c>
      <c r="J56" s="35">
        <f>MAX(0,ROUND(Inputs!N18*(1+Inputs!P18*Inputs!$G$44),0))</f>
        <v>1</v>
      </c>
      <c r="K56" s="35">
        <f>MIN(J56,IFERROR(ROUND(Inputs!$C$58*Inputs!N18/Inputs!$N$23,0),0))</f>
        <v>1</v>
      </c>
      <c r="L56" s="35">
        <f t="shared" si="5"/>
        <v>0</v>
      </c>
    </row>
    <row r="57" spans="2:12" x14ac:dyDescent="0.3">
      <c r="B57" s="30" t="str">
        <f>Inputs!B19</f>
        <v>IX</v>
      </c>
      <c r="C57" s="35">
        <f>Inputs!C19</f>
        <v>26</v>
      </c>
      <c r="D57" s="35">
        <f>MIN((Inputs!F19-Inputs!C19),MAX(0,ROUND(Inputs!G19+Inputs!Q19*Inputs!$E$44,0)))</f>
        <v>4</v>
      </c>
      <c r="E57" s="35">
        <f t="shared" si="4"/>
        <v>30</v>
      </c>
      <c r="F57" s="36">
        <f>(C57-J57+D57)*Inputs!D19*(1+Inputs!E19)+K57*Inputs!D19*(1+Inputs!$F$53)</f>
        <v>11461670</v>
      </c>
      <c r="G57" s="37">
        <f>MIN(1,MAX(0,Inputs!I19+Inputs!K19*Inputs!$F$44))</f>
        <v>0.4</v>
      </c>
      <c r="H57" s="36">
        <f>(C57-L57)*G57*Inputs!L19</f>
        <v>0</v>
      </c>
      <c r="I57" s="36">
        <f>D57*Inputs!M19</f>
        <v>400000</v>
      </c>
      <c r="J57" s="35">
        <f>MAX(0,ROUND(Inputs!N19*(1+Inputs!P19*Inputs!$G$44),0))</f>
        <v>1</v>
      </c>
      <c r="K57" s="35">
        <f>MIN(J57,IFERROR(ROUND(Inputs!$C$58*Inputs!N19/Inputs!$N$23,0),0))</f>
        <v>1</v>
      </c>
      <c r="L57" s="35">
        <f t="shared" si="5"/>
        <v>0</v>
      </c>
    </row>
    <row r="58" spans="2:12" x14ac:dyDescent="0.3">
      <c r="B58" s="30" t="str">
        <f>Inputs!B20</f>
        <v>X</v>
      </c>
      <c r="C58" s="35">
        <f>Inputs!C20</f>
        <v>30</v>
      </c>
      <c r="D58" s="35">
        <f>MIN((Inputs!F20-Inputs!C20),MAX(0,ROUND(Inputs!G20+Inputs!Q20*Inputs!$E$44,0)))</f>
        <v>0</v>
      </c>
      <c r="E58" s="35">
        <f t="shared" si="4"/>
        <v>30</v>
      </c>
      <c r="F58" s="36">
        <f>(C58-J58+D58)*Inputs!D20*(1+Inputs!E20)+K58*Inputs!D20*(1+Inputs!$F$53)</f>
        <v>11952000</v>
      </c>
      <c r="G58" s="37">
        <f>MIN(1,MAX(0,Inputs!I20+Inputs!K20*Inputs!$F$44))</f>
        <v>0.30000000000000004</v>
      </c>
      <c r="H58" s="36">
        <f>(C58-L58)*G58*Inputs!L20</f>
        <v>0</v>
      </c>
      <c r="I58" s="36">
        <f>D58*Inputs!M20</f>
        <v>0</v>
      </c>
      <c r="J58" s="35">
        <f>MAX(0,ROUND(Inputs!N20*(1+Inputs!P20*Inputs!$G$44),0))</f>
        <v>0</v>
      </c>
      <c r="K58" s="35">
        <f>MIN(J58,IFERROR(ROUND(Inputs!$C$58*Inputs!N20/Inputs!$N$23,0),0))</f>
        <v>0</v>
      </c>
      <c r="L58" s="35">
        <f t="shared" si="5"/>
        <v>0</v>
      </c>
    </row>
    <row r="59" spans="2:12" x14ac:dyDescent="0.3">
      <c r="B59" s="30" t="str">
        <f>Inputs!B21</f>
        <v>AS</v>
      </c>
      <c r="C59" s="35">
        <f>Inputs!C21</f>
        <v>26</v>
      </c>
      <c r="D59" s="35">
        <f>MIN((Inputs!F21-Inputs!C21),MAX(0,ROUND(Inputs!G21+Inputs!Q21*Inputs!$E$44,0)))</f>
        <v>34</v>
      </c>
      <c r="E59" s="35">
        <f t="shared" si="4"/>
        <v>60</v>
      </c>
      <c r="F59" s="36">
        <f>(C59-J59+D59)*Inputs!D21*(1+Inputs!E21)+K59*Inputs!D21*(1+Inputs!$F$53)</f>
        <v>21168000</v>
      </c>
      <c r="G59" s="37">
        <f>MIN(1,MAX(0,Inputs!I21+Inputs!K21*Inputs!$F$44))</f>
        <v>0.2</v>
      </c>
      <c r="H59" s="36">
        <f>(C59-L59)*G59*Inputs!L21</f>
        <v>0</v>
      </c>
      <c r="I59" s="36">
        <f>D59*Inputs!M21</f>
        <v>0</v>
      </c>
      <c r="J59" s="35">
        <f>MAX(0,ROUND(Inputs!N21*(1+Inputs!P21*Inputs!$G$44),0))</f>
        <v>0</v>
      </c>
      <c r="K59" s="35">
        <f>MIN(J59,IFERROR(ROUND(Inputs!$C$58*Inputs!N21/Inputs!$N$23,0),0))</f>
        <v>0</v>
      </c>
      <c r="L59" s="35">
        <f t="shared" si="5"/>
        <v>0</v>
      </c>
    </row>
    <row r="60" spans="2:12" x14ac:dyDescent="0.3">
      <c r="B60" s="30" t="str">
        <f>Inputs!B22</f>
        <v>A2</v>
      </c>
      <c r="C60" s="35">
        <f>Inputs!C22</f>
        <v>29</v>
      </c>
      <c r="D60" s="35">
        <f>MIN((Inputs!F22-Inputs!C22),MAX(0,ROUND(Inputs!G22+Inputs!Q22*Inputs!$E$44,0)))</f>
        <v>1</v>
      </c>
      <c r="E60" s="35">
        <f t="shared" si="4"/>
        <v>30</v>
      </c>
      <c r="F60" s="36">
        <f>(C60-J60+D60)*Inputs!D22*(1+Inputs!E22)+K60*Inputs!D22*(1+Inputs!$F$53)</f>
        <v>11016000</v>
      </c>
      <c r="G60" s="37">
        <f>MIN(1,MAX(0,Inputs!I22+Inputs!K22*Inputs!$F$44))</f>
        <v>0</v>
      </c>
      <c r="H60" s="36">
        <f>(C60-L60)*G60*Inputs!L22</f>
        <v>0</v>
      </c>
      <c r="I60" s="36">
        <f>D60*Inputs!M22</f>
        <v>100000</v>
      </c>
      <c r="J60" s="35">
        <f>MAX(0,ROUND(Inputs!N22*(1+Inputs!P22*Inputs!$G$44),0))</f>
        <v>0</v>
      </c>
      <c r="K60" s="35">
        <f>MIN(J60,IFERROR(ROUND(Inputs!$C$58*Inputs!N22/Inputs!$N$23,0),0))</f>
        <v>0</v>
      </c>
      <c r="L60" s="35">
        <f t="shared" si="5"/>
        <v>0</v>
      </c>
    </row>
    <row r="61" spans="2:12" x14ac:dyDescent="0.3">
      <c r="B61" s="17" t="s">
        <v>63</v>
      </c>
      <c r="C61" s="32">
        <f>SUM(C46:C60)</f>
        <v>366</v>
      </c>
      <c r="D61" s="32">
        <f>SUM(D46:D60)</f>
        <v>100</v>
      </c>
      <c r="E61" s="32">
        <f>SUM(E46:E60)</f>
        <v>466</v>
      </c>
      <c r="F61" s="33">
        <f>SUM(F46:F60)</f>
        <v>145081330</v>
      </c>
      <c r="G61" s="34"/>
      <c r="H61" s="33">
        <f>SUM(H46:H60)</f>
        <v>0</v>
      </c>
      <c r="I61" s="33">
        <f>SUM(I46:I60)</f>
        <v>1500000</v>
      </c>
      <c r="J61" s="32">
        <f>SUM(J46:J60)</f>
        <v>17</v>
      </c>
      <c r="K61" s="32">
        <f>SUM(K46:K60)</f>
        <v>17</v>
      </c>
      <c r="L61" s="32">
        <f>SUM(L46:L60)</f>
        <v>0</v>
      </c>
    </row>
    <row r="64" spans="2:12" x14ac:dyDescent="0.3">
      <c r="B64" s="42" t="s">
        <v>143</v>
      </c>
      <c r="C64" s="42"/>
      <c r="D64" s="42"/>
      <c r="E64" s="42"/>
      <c r="F64" s="42"/>
      <c r="G64" s="42"/>
      <c r="H64" s="42"/>
      <c r="I64" s="42"/>
    </row>
    <row r="65" spans="2:9" ht="27.75" customHeight="1" x14ac:dyDescent="0.3">
      <c r="B65" s="6" t="s">
        <v>32</v>
      </c>
      <c r="C65" s="6" t="s">
        <v>33</v>
      </c>
      <c r="D65" s="6" t="s">
        <v>144</v>
      </c>
      <c r="E65" s="6" t="s">
        <v>145</v>
      </c>
      <c r="F65" s="6" t="s">
        <v>146</v>
      </c>
      <c r="G65" s="6" t="s">
        <v>147</v>
      </c>
      <c r="H65" s="6" t="s">
        <v>148</v>
      </c>
      <c r="I65" s="6" t="s">
        <v>149</v>
      </c>
    </row>
    <row r="66" spans="2:9" x14ac:dyDescent="0.3">
      <c r="B66" s="30" t="str">
        <f>Inputs!B8</f>
        <v>Pre-KG</v>
      </c>
      <c r="C66" s="35">
        <f>Inputs!C8</f>
        <v>0</v>
      </c>
      <c r="D66" s="37">
        <f>Inputs!E8</f>
        <v>0</v>
      </c>
      <c r="E66" s="36">
        <f>Inputs!D8</f>
        <v>0</v>
      </c>
      <c r="F66" s="37">
        <f t="shared" ref="F66:F80" si="6">IFERROR(D66/(1+D66),0)</f>
        <v>0</v>
      </c>
      <c r="G66" s="35">
        <f t="shared" ref="G66:G80" si="7">ROUND(C66*F66,0)</f>
        <v>0</v>
      </c>
      <c r="H66" s="36">
        <f t="shared" ref="H66:H80" si="8">C66*E66</f>
        <v>0</v>
      </c>
      <c r="I66" s="36">
        <f t="shared" ref="I66:I80" si="9">(C66-G66)*E66*(1+D66)</f>
        <v>0</v>
      </c>
    </row>
    <row r="67" spans="2:9" x14ac:dyDescent="0.3">
      <c r="B67" s="30" t="str">
        <f>Inputs!B9</f>
        <v>LKG</v>
      </c>
      <c r="C67" s="35">
        <f>Inputs!C9</f>
        <v>4</v>
      </c>
      <c r="D67" s="37">
        <f>Inputs!E9</f>
        <v>0</v>
      </c>
      <c r="E67" s="36">
        <f>Inputs!D9</f>
        <v>240000</v>
      </c>
      <c r="F67" s="37">
        <f t="shared" si="6"/>
        <v>0</v>
      </c>
      <c r="G67" s="35">
        <f t="shared" si="7"/>
        <v>0</v>
      </c>
      <c r="H67" s="36">
        <f t="shared" si="8"/>
        <v>960000</v>
      </c>
      <c r="I67" s="36">
        <f t="shared" si="9"/>
        <v>960000</v>
      </c>
    </row>
    <row r="68" spans="2:9" x14ac:dyDescent="0.3">
      <c r="B68" s="30" t="str">
        <f>Inputs!B10</f>
        <v>UKG</v>
      </c>
      <c r="C68" s="35">
        <f>Inputs!C10</f>
        <v>15</v>
      </c>
      <c r="D68" s="37">
        <f>Inputs!E10</f>
        <v>0</v>
      </c>
      <c r="E68" s="36">
        <f>Inputs!D10</f>
        <v>240000</v>
      </c>
      <c r="F68" s="37">
        <f t="shared" si="6"/>
        <v>0</v>
      </c>
      <c r="G68" s="35">
        <f t="shared" si="7"/>
        <v>0</v>
      </c>
      <c r="H68" s="36">
        <f t="shared" si="8"/>
        <v>3600000</v>
      </c>
      <c r="I68" s="36">
        <f t="shared" si="9"/>
        <v>3600000</v>
      </c>
    </row>
    <row r="69" spans="2:9" x14ac:dyDescent="0.3">
      <c r="B69" s="30" t="str">
        <f>Inputs!B11</f>
        <v>I</v>
      </c>
      <c r="C69" s="35">
        <f>Inputs!C11</f>
        <v>23</v>
      </c>
      <c r="D69" s="37">
        <f>Inputs!E11</f>
        <v>0</v>
      </c>
      <c r="E69" s="36">
        <f>Inputs!D11</f>
        <v>217000</v>
      </c>
      <c r="F69" s="37">
        <f t="shared" si="6"/>
        <v>0</v>
      </c>
      <c r="G69" s="35">
        <f t="shared" si="7"/>
        <v>0</v>
      </c>
      <c r="H69" s="36">
        <f t="shared" si="8"/>
        <v>4991000</v>
      </c>
      <c r="I69" s="36">
        <f t="shared" si="9"/>
        <v>4991000</v>
      </c>
    </row>
    <row r="70" spans="2:9" x14ac:dyDescent="0.3">
      <c r="B70" s="30" t="str">
        <f>Inputs!B12</f>
        <v>II</v>
      </c>
      <c r="C70" s="35">
        <f>Inputs!C12</f>
        <v>33</v>
      </c>
      <c r="D70" s="37">
        <f>Inputs!E12</f>
        <v>0.2</v>
      </c>
      <c r="E70" s="36">
        <f>Inputs!D12</f>
        <v>217000</v>
      </c>
      <c r="F70" s="37">
        <f t="shared" si="6"/>
        <v>0.16666666666666669</v>
      </c>
      <c r="G70" s="35">
        <f t="shared" si="7"/>
        <v>6</v>
      </c>
      <c r="H70" s="36">
        <f t="shared" si="8"/>
        <v>7161000</v>
      </c>
      <c r="I70" s="36">
        <f t="shared" si="9"/>
        <v>7030800</v>
      </c>
    </row>
    <row r="71" spans="2:9" x14ac:dyDescent="0.3">
      <c r="B71" s="30" t="str">
        <f>Inputs!B13</f>
        <v>III</v>
      </c>
      <c r="C71" s="35">
        <f>Inputs!C13</f>
        <v>34</v>
      </c>
      <c r="D71" s="37">
        <f>Inputs!E13</f>
        <v>0.2</v>
      </c>
      <c r="E71" s="36">
        <f>Inputs!D13</f>
        <v>227000</v>
      </c>
      <c r="F71" s="37">
        <f t="shared" si="6"/>
        <v>0.16666666666666669</v>
      </c>
      <c r="G71" s="35">
        <f t="shared" si="7"/>
        <v>6</v>
      </c>
      <c r="H71" s="36">
        <f t="shared" si="8"/>
        <v>7718000</v>
      </c>
      <c r="I71" s="36">
        <f t="shared" si="9"/>
        <v>7627200</v>
      </c>
    </row>
    <row r="72" spans="2:9" x14ac:dyDescent="0.3">
      <c r="B72" s="30" t="str">
        <f>Inputs!B14</f>
        <v>IV</v>
      </c>
      <c r="C72" s="35">
        <f>Inputs!C14</f>
        <v>32</v>
      </c>
      <c r="D72" s="37">
        <f>Inputs!E14</f>
        <v>0.2</v>
      </c>
      <c r="E72" s="36">
        <f>Inputs!D14</f>
        <v>232000</v>
      </c>
      <c r="F72" s="37">
        <f t="shared" si="6"/>
        <v>0.16666666666666669</v>
      </c>
      <c r="G72" s="35">
        <f t="shared" si="7"/>
        <v>5</v>
      </c>
      <c r="H72" s="36">
        <f t="shared" si="8"/>
        <v>7424000</v>
      </c>
      <c r="I72" s="36">
        <f t="shared" si="9"/>
        <v>7516800</v>
      </c>
    </row>
    <row r="73" spans="2:9" x14ac:dyDescent="0.3">
      <c r="B73" s="30" t="str">
        <f>Inputs!B15</f>
        <v>V</v>
      </c>
      <c r="C73" s="35">
        <f>Inputs!C15</f>
        <v>31</v>
      </c>
      <c r="D73" s="37">
        <f>Inputs!E15</f>
        <v>0.2</v>
      </c>
      <c r="E73" s="36">
        <f>Inputs!D15</f>
        <v>254000</v>
      </c>
      <c r="F73" s="37">
        <f t="shared" si="6"/>
        <v>0.16666666666666669</v>
      </c>
      <c r="G73" s="35">
        <f t="shared" si="7"/>
        <v>5</v>
      </c>
      <c r="H73" s="36">
        <f t="shared" si="8"/>
        <v>7874000</v>
      </c>
      <c r="I73" s="36">
        <f t="shared" si="9"/>
        <v>7924800</v>
      </c>
    </row>
    <row r="74" spans="2:9" x14ac:dyDescent="0.3">
      <c r="B74" s="30" t="str">
        <f>Inputs!B16</f>
        <v>VI</v>
      </c>
      <c r="C74" s="35">
        <f>Inputs!C16</f>
        <v>31</v>
      </c>
      <c r="D74" s="37">
        <f>Inputs!E16</f>
        <v>0.2</v>
      </c>
      <c r="E74" s="36">
        <f>Inputs!D16</f>
        <v>270000</v>
      </c>
      <c r="F74" s="37">
        <f t="shared" si="6"/>
        <v>0.16666666666666669</v>
      </c>
      <c r="G74" s="35">
        <f t="shared" si="7"/>
        <v>5</v>
      </c>
      <c r="H74" s="36">
        <f t="shared" si="8"/>
        <v>8370000</v>
      </c>
      <c r="I74" s="36">
        <f t="shared" si="9"/>
        <v>8424000</v>
      </c>
    </row>
    <row r="75" spans="2:9" x14ac:dyDescent="0.3">
      <c r="B75" s="30" t="str">
        <f>Inputs!B17</f>
        <v>VII</v>
      </c>
      <c r="C75" s="35">
        <f>Inputs!C17</f>
        <v>27</v>
      </c>
      <c r="D75" s="37">
        <f>Inputs!E17</f>
        <v>0.2</v>
      </c>
      <c r="E75" s="36">
        <f>Inputs!D17</f>
        <v>288000</v>
      </c>
      <c r="F75" s="37">
        <f t="shared" si="6"/>
        <v>0.16666666666666669</v>
      </c>
      <c r="G75" s="35">
        <f t="shared" si="7"/>
        <v>5</v>
      </c>
      <c r="H75" s="36">
        <f t="shared" si="8"/>
        <v>7776000</v>
      </c>
      <c r="I75" s="36">
        <f t="shared" si="9"/>
        <v>7603200</v>
      </c>
    </row>
    <row r="76" spans="2:9" x14ac:dyDescent="0.3">
      <c r="B76" s="30" t="str">
        <f>Inputs!B18</f>
        <v>VIII</v>
      </c>
      <c r="C76" s="35">
        <f>Inputs!C18</f>
        <v>25</v>
      </c>
      <c r="D76" s="37">
        <f>Inputs!E18</f>
        <v>0.2</v>
      </c>
      <c r="E76" s="36">
        <f>Inputs!D18</f>
        <v>304000</v>
      </c>
      <c r="F76" s="37">
        <f t="shared" si="6"/>
        <v>0.16666666666666669</v>
      </c>
      <c r="G76" s="35">
        <f t="shared" si="7"/>
        <v>4</v>
      </c>
      <c r="H76" s="36">
        <f t="shared" si="8"/>
        <v>7600000</v>
      </c>
      <c r="I76" s="36">
        <f t="shared" si="9"/>
        <v>7660800</v>
      </c>
    </row>
    <row r="77" spans="2:9" x14ac:dyDescent="0.3">
      <c r="B77" s="30" t="str">
        <f>Inputs!B19</f>
        <v>IX</v>
      </c>
      <c r="C77" s="35">
        <f>Inputs!C19</f>
        <v>26</v>
      </c>
      <c r="D77" s="37">
        <f>Inputs!E19</f>
        <v>0.2</v>
      </c>
      <c r="E77" s="36">
        <f>Inputs!D19</f>
        <v>319000</v>
      </c>
      <c r="F77" s="37">
        <f t="shared" si="6"/>
        <v>0.16666666666666669</v>
      </c>
      <c r="G77" s="35">
        <f t="shared" si="7"/>
        <v>4</v>
      </c>
      <c r="H77" s="36">
        <f t="shared" si="8"/>
        <v>8294000</v>
      </c>
      <c r="I77" s="36">
        <f t="shared" si="9"/>
        <v>8421600</v>
      </c>
    </row>
    <row r="78" spans="2:9" x14ac:dyDescent="0.3">
      <c r="B78" s="30" t="str">
        <f>Inputs!B20</f>
        <v>X</v>
      </c>
      <c r="C78" s="35">
        <f>Inputs!C20</f>
        <v>30</v>
      </c>
      <c r="D78" s="37">
        <f>Inputs!E20</f>
        <v>0.2</v>
      </c>
      <c r="E78" s="36">
        <f>Inputs!D20</f>
        <v>332000</v>
      </c>
      <c r="F78" s="37">
        <f t="shared" si="6"/>
        <v>0.16666666666666669</v>
      </c>
      <c r="G78" s="35">
        <f t="shared" si="7"/>
        <v>5</v>
      </c>
      <c r="H78" s="36">
        <f t="shared" si="8"/>
        <v>9960000</v>
      </c>
      <c r="I78" s="36">
        <f t="shared" si="9"/>
        <v>9960000</v>
      </c>
    </row>
    <row r="79" spans="2:9" x14ac:dyDescent="0.3">
      <c r="B79" s="30" t="str">
        <f>Inputs!B21</f>
        <v>AS</v>
      </c>
      <c r="C79" s="35">
        <f>Inputs!C21</f>
        <v>26</v>
      </c>
      <c r="D79" s="37">
        <f>Inputs!E21</f>
        <v>0.2</v>
      </c>
      <c r="E79" s="36">
        <f>Inputs!D21</f>
        <v>294000</v>
      </c>
      <c r="F79" s="37">
        <f t="shared" si="6"/>
        <v>0.16666666666666669</v>
      </c>
      <c r="G79" s="35">
        <f t="shared" si="7"/>
        <v>4</v>
      </c>
      <c r="H79" s="36">
        <f t="shared" si="8"/>
        <v>7644000</v>
      </c>
      <c r="I79" s="36">
        <f t="shared" si="9"/>
        <v>7761600</v>
      </c>
    </row>
    <row r="80" spans="2:9" x14ac:dyDescent="0.3">
      <c r="B80" s="30" t="str">
        <f>Inputs!B22</f>
        <v>A2</v>
      </c>
      <c r="C80" s="35">
        <f>Inputs!C22</f>
        <v>29</v>
      </c>
      <c r="D80" s="37">
        <f>Inputs!E22</f>
        <v>0.2</v>
      </c>
      <c r="E80" s="36">
        <f>Inputs!D22</f>
        <v>306000</v>
      </c>
      <c r="F80" s="37">
        <f t="shared" si="6"/>
        <v>0.16666666666666669</v>
      </c>
      <c r="G80" s="35">
        <f t="shared" si="7"/>
        <v>5</v>
      </c>
      <c r="H80" s="36">
        <f t="shared" si="8"/>
        <v>8874000</v>
      </c>
      <c r="I80" s="36">
        <f t="shared" si="9"/>
        <v>8812800</v>
      </c>
    </row>
    <row r="81" spans="2:9" x14ac:dyDescent="0.3">
      <c r="B81" s="17" t="s">
        <v>63</v>
      </c>
      <c r="C81" s="32">
        <f>SUM(C66:C80)</f>
        <v>366</v>
      </c>
      <c r="D81" s="34"/>
      <c r="E81" s="34"/>
      <c r="F81" s="34"/>
      <c r="G81" s="32">
        <f>SUM(G66:G80)</f>
        <v>54</v>
      </c>
      <c r="H81" s="33">
        <f>SUM(H66:H80)</f>
        <v>98246000</v>
      </c>
      <c r="I81" s="33">
        <f>SUM(I66:I80)</f>
        <v>98294600</v>
      </c>
    </row>
    <row r="84" spans="2:9" x14ac:dyDescent="0.3">
      <c r="B84" s="42" t="s">
        <v>150</v>
      </c>
      <c r="C84" s="42"/>
      <c r="D84" s="42"/>
      <c r="E84" s="42"/>
    </row>
    <row r="85" spans="2:9" x14ac:dyDescent="0.3">
      <c r="B85" s="25" t="s">
        <v>106</v>
      </c>
      <c r="C85" s="25" t="s">
        <v>86</v>
      </c>
      <c r="D85" s="25" t="s">
        <v>28</v>
      </c>
      <c r="E85" s="25" t="s">
        <v>87</v>
      </c>
    </row>
    <row r="86" spans="2:9" x14ac:dyDescent="0.3">
      <c r="B86" s="15" t="s">
        <v>107</v>
      </c>
      <c r="C86" s="35">
        <f>D21</f>
        <v>34</v>
      </c>
      <c r="D86" s="35">
        <f>D41</f>
        <v>49</v>
      </c>
      <c r="E86" s="35">
        <f>D61</f>
        <v>100</v>
      </c>
    </row>
    <row r="87" spans="2:9" x14ac:dyDescent="0.3">
      <c r="B87" s="15" t="s">
        <v>108</v>
      </c>
      <c r="C87" s="35">
        <f>J21</f>
        <v>45</v>
      </c>
      <c r="D87" s="35">
        <f>J41</f>
        <v>28</v>
      </c>
      <c r="E87" s="35">
        <f>J61</f>
        <v>17</v>
      </c>
    </row>
    <row r="88" spans="2:9" x14ac:dyDescent="0.3">
      <c r="B88" s="15" t="s">
        <v>109</v>
      </c>
      <c r="C88" s="35">
        <f>K21</f>
        <v>17</v>
      </c>
      <c r="D88" s="35">
        <f>K41</f>
        <v>28</v>
      </c>
      <c r="E88" s="35">
        <f>K61</f>
        <v>17</v>
      </c>
    </row>
    <row r="89" spans="2:9" x14ac:dyDescent="0.3">
      <c r="B89" s="17" t="s">
        <v>110</v>
      </c>
      <c r="C89" s="32">
        <f>L21</f>
        <v>28</v>
      </c>
      <c r="D89" s="32">
        <f>L41</f>
        <v>0</v>
      </c>
      <c r="E89" s="32">
        <f>L61</f>
        <v>0</v>
      </c>
    </row>
    <row r="90" spans="2:9" x14ac:dyDescent="0.3">
      <c r="B90" s="15" t="s">
        <v>111</v>
      </c>
      <c r="C90" s="35">
        <f>E21</f>
        <v>372</v>
      </c>
      <c r="D90" s="35">
        <f>E41</f>
        <v>415</v>
      </c>
      <c r="E90" s="35">
        <f>E61</f>
        <v>466</v>
      </c>
    </row>
    <row r="91" spans="2:9" x14ac:dyDescent="0.3">
      <c r="B91" s="15" t="s">
        <v>112</v>
      </c>
      <c r="C91" s="36">
        <f>F21</f>
        <v>116956730</v>
      </c>
      <c r="D91" s="36">
        <f>F41</f>
        <v>129387390</v>
      </c>
      <c r="E91" s="36">
        <f>F61</f>
        <v>145081330</v>
      </c>
    </row>
    <row r="92" spans="2:9" x14ac:dyDescent="0.3">
      <c r="B92" s="15" t="s">
        <v>151</v>
      </c>
      <c r="C92" s="31">
        <f>Inputs!$C$42</f>
        <v>0.92</v>
      </c>
      <c r="D92" s="31">
        <f>Inputs!$C$43</f>
        <v>0.97</v>
      </c>
      <c r="E92" s="31">
        <f>Inputs!$C$44</f>
        <v>0.99</v>
      </c>
    </row>
    <row r="93" spans="2:9" x14ac:dyDescent="0.3">
      <c r="B93" s="15" t="s">
        <v>113</v>
      </c>
      <c r="C93" s="36">
        <f>C91*C92</f>
        <v>107600191.60000001</v>
      </c>
      <c r="D93" s="36">
        <f>D91*D92</f>
        <v>125505768.3</v>
      </c>
      <c r="E93" s="36">
        <f>E91*E92</f>
        <v>143630516.69999999</v>
      </c>
    </row>
    <row r="94" spans="2:9" x14ac:dyDescent="0.3">
      <c r="B94" s="15" t="s">
        <v>114</v>
      </c>
      <c r="C94" s="36">
        <f>H21</f>
        <v>0</v>
      </c>
      <c r="D94" s="36">
        <f>H41</f>
        <v>0</v>
      </c>
      <c r="E94" s="36">
        <f>H61</f>
        <v>0</v>
      </c>
    </row>
    <row r="95" spans="2:9" x14ac:dyDescent="0.3">
      <c r="B95" s="15" t="s">
        <v>115</v>
      </c>
      <c r="C95" s="36">
        <f>I21</f>
        <v>700000</v>
      </c>
      <c r="D95" s="36">
        <f>I41</f>
        <v>1000000</v>
      </c>
      <c r="E95" s="36">
        <f>I61</f>
        <v>1500000</v>
      </c>
    </row>
    <row r="96" spans="2:9" x14ac:dyDescent="0.3">
      <c r="B96" s="17" t="s">
        <v>116</v>
      </c>
      <c r="C96" s="33">
        <f>C93+C94+C95</f>
        <v>108300191.60000001</v>
      </c>
      <c r="D96" s="33">
        <f>D93+D94+D95</f>
        <v>126505768.3</v>
      </c>
      <c r="E96" s="33">
        <f>E93+E94+E95</f>
        <v>145130516.69999999</v>
      </c>
    </row>
    <row r="98" spans="2:5" x14ac:dyDescent="0.3">
      <c r="B98" s="15" t="s">
        <v>152</v>
      </c>
      <c r="C98" s="28">
        <f>Inputs!$C$37</f>
        <v>126489196</v>
      </c>
      <c r="D98" s="28">
        <f>Inputs!$C$37</f>
        <v>126489196</v>
      </c>
      <c r="E98" s="28">
        <f>Inputs!$C$37</f>
        <v>126489196</v>
      </c>
    </row>
    <row r="99" spans="2:5" x14ac:dyDescent="0.3">
      <c r="B99" s="15" t="s">
        <v>153</v>
      </c>
      <c r="C99" s="31">
        <f>Inputs!$D$42</f>
        <v>0.03</v>
      </c>
      <c r="D99" s="31">
        <f>Inputs!$D$43</f>
        <v>0</v>
      </c>
      <c r="E99" s="31">
        <f>Inputs!$D$44</f>
        <v>-0.02</v>
      </c>
    </row>
    <row r="100" spans="2:5" x14ac:dyDescent="0.3">
      <c r="B100" s="17" t="s">
        <v>117</v>
      </c>
      <c r="C100" s="33">
        <f>C98*(1+C99)</f>
        <v>130283871.88000001</v>
      </c>
      <c r="D100" s="33">
        <f>D98*(1+D99)</f>
        <v>126489196</v>
      </c>
      <c r="E100" s="33">
        <f>E98*(1+E99)</f>
        <v>123959412.08</v>
      </c>
    </row>
    <row r="101" spans="2:5" x14ac:dyDescent="0.3">
      <c r="B101" s="17" t="s">
        <v>118</v>
      </c>
      <c r="C101" s="33">
        <f>C96-C100</f>
        <v>-21983680.280000001</v>
      </c>
      <c r="D101" s="33">
        <f>D96-D100</f>
        <v>16572.29999999702</v>
      </c>
      <c r="E101" s="33">
        <f>E96-E100</f>
        <v>21171104.61999999</v>
      </c>
    </row>
    <row r="103" spans="2:5" x14ac:dyDescent="0.3">
      <c r="B103" s="15" t="s">
        <v>154</v>
      </c>
      <c r="C103" s="36">
        <f>C91</f>
        <v>116956730</v>
      </c>
      <c r="D103" s="36">
        <f>D91</f>
        <v>129387390</v>
      </c>
      <c r="E103" s="36">
        <f>E91</f>
        <v>145081330</v>
      </c>
    </row>
    <row r="104" spans="2:5" x14ac:dyDescent="0.3">
      <c r="B104" s="15" t="s">
        <v>155</v>
      </c>
      <c r="C104" s="36">
        <f>IF(Inputs!$J$4="No",C95,0)</f>
        <v>700000</v>
      </c>
      <c r="D104" s="36">
        <f>IF(Inputs!$J$4="No",D95,0)</f>
        <v>1000000</v>
      </c>
      <c r="E104" s="36">
        <f>IF(Inputs!$J$4="No",E95,0)</f>
        <v>1500000</v>
      </c>
    </row>
    <row r="105" spans="2:5" x14ac:dyDescent="0.3">
      <c r="B105" s="17" t="s">
        <v>156</v>
      </c>
      <c r="C105" s="33">
        <f>C103+C104</f>
        <v>117656730</v>
      </c>
      <c r="D105" s="33">
        <f>D103+D104</f>
        <v>130387390</v>
      </c>
      <c r="E105" s="33">
        <f>E103+E104</f>
        <v>146581330</v>
      </c>
    </row>
    <row r="106" spans="2:5" x14ac:dyDescent="0.3">
      <c r="B106" s="15" t="s">
        <v>157</v>
      </c>
      <c r="C106" s="36">
        <f>C100</f>
        <v>130283871.88000001</v>
      </c>
      <c r="D106" s="36">
        <f>D100</f>
        <v>126489196</v>
      </c>
      <c r="E106" s="36">
        <f>E100</f>
        <v>123959412.08</v>
      </c>
    </row>
    <row r="107" spans="2:5" x14ac:dyDescent="0.3">
      <c r="B107" s="17" t="s">
        <v>158</v>
      </c>
      <c r="C107" s="33">
        <f>C105-C106</f>
        <v>-12627141.88000001</v>
      </c>
      <c r="D107" s="33">
        <f>D105-D106</f>
        <v>3898194</v>
      </c>
      <c r="E107" s="33">
        <f>E105-E106</f>
        <v>22621917.920000002</v>
      </c>
    </row>
    <row r="109" spans="2:5" x14ac:dyDescent="0.3">
      <c r="B109" s="15" t="s">
        <v>122</v>
      </c>
      <c r="C109" s="26">
        <f>Calculations!$G$81</f>
        <v>54</v>
      </c>
      <c r="D109" s="26">
        <f>Calculations!$G$81</f>
        <v>54</v>
      </c>
      <c r="E109" s="26">
        <f>Calculations!$G$81</f>
        <v>54</v>
      </c>
    </row>
    <row r="110" spans="2:5" x14ac:dyDescent="0.3">
      <c r="B110" s="17" t="s">
        <v>123</v>
      </c>
      <c r="C110" s="32">
        <f>C109-C89</f>
        <v>26</v>
      </c>
      <c r="D110" s="32">
        <f>D109-D89</f>
        <v>54</v>
      </c>
      <c r="E110" s="32">
        <f>E109-E89</f>
        <v>54</v>
      </c>
    </row>
    <row r="111" spans="2:5" x14ac:dyDescent="0.3">
      <c r="B111" s="15" t="s">
        <v>124</v>
      </c>
      <c r="C111" s="36">
        <f>SUMPRODUCT(Calculations!K6:K20*Inputs!$D$8:$D$22*(1+Inputs!$F$53))</f>
        <v>4792329.9999999991</v>
      </c>
      <c r="D111" s="36">
        <f>SUMPRODUCT(Calculations!K26:K40*Inputs!$D$8:$D$22*(1+Inputs!$F$53))</f>
        <v>7868190</v>
      </c>
      <c r="E111" s="36">
        <f>SUMPRODUCT(Calculations!K46:K60*Inputs!$D$8:$D$22*(1+Inputs!$F$53))</f>
        <v>4792329.9999999991</v>
      </c>
    </row>
    <row r="112" spans="2:5" x14ac:dyDescent="0.3">
      <c r="B112" s="17" t="s">
        <v>159</v>
      </c>
      <c r="C112" s="33">
        <f>SUMPRODUCT((Calculations!C6:C20-Calculations!J6:J20)*Inputs!$D$8:$D$22*(1+Inputs!$E$8:$E$22))+SUMPRODUCT(Calculations!K6:K20*Inputs!$D$8:$D$22*(1+Inputs!$F$53))-Calculations!$H$81</f>
        <v>9086530</v>
      </c>
      <c r="D112" s="33">
        <f>SUMPRODUCT((Calculations!C26:C40-Calculations!J26:J40)*Inputs!$D$8:$D$22*(1+Inputs!$E$8:$E$22))+SUMPRODUCT(Calculations!K26:K40*Inputs!$D$8:$D$22*(1+Inputs!$F$53))-Calculations!$H$81</f>
        <v>17251590</v>
      </c>
      <c r="E112" s="33">
        <f>SUMPRODUCT((Calculations!C46:C60-Calculations!J46:J60)*Inputs!$D$8:$D$22*(1+Inputs!$E$8:$E$22))+SUMPRODUCT(Calculations!K46:K60*Inputs!$D$8:$D$22*(1+Inputs!$F$53))-Calculations!$H$81</f>
        <v>17442130</v>
      </c>
    </row>
    <row r="114" spans="2:5" x14ac:dyDescent="0.3">
      <c r="B114" s="15" t="s">
        <v>160</v>
      </c>
      <c r="C114" s="28">
        <f>Inputs!$F$47</f>
        <v>0</v>
      </c>
      <c r="D114" s="28">
        <f>Inputs!$F$47</f>
        <v>0</v>
      </c>
      <c r="E114" s="28">
        <f>Inputs!$F$47</f>
        <v>0</v>
      </c>
    </row>
    <row r="115" spans="2:5" x14ac:dyDescent="0.3">
      <c r="B115" s="15" t="s">
        <v>161</v>
      </c>
      <c r="C115" s="36">
        <f>C94+IF(Inputs!$J$4="Yes",C95,0)</f>
        <v>0</v>
      </c>
      <c r="D115" s="36">
        <f>D94+IF(Inputs!$J$4="Yes",D95,0)</f>
        <v>0</v>
      </c>
      <c r="E115" s="36">
        <f>E94+IF(Inputs!$J$4="Yes",E95,0)</f>
        <v>0</v>
      </c>
    </row>
    <row r="116" spans="2:5" x14ac:dyDescent="0.3">
      <c r="B116" s="15" t="s">
        <v>162</v>
      </c>
      <c r="C116" s="28">
        <f>Inputs!$F$48</f>
        <v>0</v>
      </c>
      <c r="D116" s="28">
        <f>Inputs!$F$48</f>
        <v>0</v>
      </c>
      <c r="E116" s="28">
        <f>Inputs!$F$48</f>
        <v>0</v>
      </c>
    </row>
    <row r="117" spans="2:5" x14ac:dyDescent="0.3">
      <c r="B117" s="17" t="s">
        <v>126</v>
      </c>
      <c r="C117" s="33">
        <f>C114+C115-C116</f>
        <v>0</v>
      </c>
      <c r="D117" s="33">
        <f>D114+D115-D116</f>
        <v>0</v>
      </c>
      <c r="E117" s="33">
        <f>E114+E115-E116</f>
        <v>0</v>
      </c>
    </row>
    <row r="118" spans="2:5" x14ac:dyDescent="0.3">
      <c r="B118" s="17" t="s">
        <v>163</v>
      </c>
      <c r="C118" s="33">
        <f>C101-C117</f>
        <v>-21983680.280000001</v>
      </c>
      <c r="D118" s="33">
        <f>D101-D117</f>
        <v>16572.29999999702</v>
      </c>
      <c r="E118" s="33">
        <f>E101-E117</f>
        <v>21171104.61999999</v>
      </c>
    </row>
  </sheetData>
  <mergeCells count="5">
    <mergeCell ref="B4:L4"/>
    <mergeCell ref="B24:L24"/>
    <mergeCell ref="B44:L44"/>
    <mergeCell ref="B64:I64"/>
    <mergeCell ref="B84:E8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Inputs</vt:lpstr>
      <vt:lpstr>Dashboard</vt:lpstr>
      <vt:lpstr>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Ravi Radhakrishnan</cp:lastModifiedBy>
  <cp:revision>1</cp:revision>
  <dcterms:created xsi:type="dcterms:W3CDTF">2026-09-15T20:07:09Z</dcterms:created>
  <dcterms:modified xsi:type="dcterms:W3CDTF">2026-09-16T11:27:40Z</dcterms:modified>
  <dc:language>en-US</dc:language>
</cp:coreProperties>
</file>
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er\Consulting\HLC\Workshop\Workshop 10\"/>
    </mc:Choice>
  </mc:AlternateContent>
  <xr:revisionPtr revIDLastSave="0" documentId="13_ncr:1_{0C4B6F28-414B-4CF6-90E4-F36655B410B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Legend" sheetId="1" r:id="rId1"/>
    <sheet name="Master Plan" sheetId="2" r:id="rId2"/>
    <sheet name="Milestones" sheetId="3" r:id="rId3"/>
    <sheet name="Daily Scorec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4" l="1"/>
  <c r="J22" i="4" s="1"/>
  <c r="I20" i="4"/>
  <c r="I22" i="4" s="1"/>
  <c r="H20" i="4"/>
  <c r="H22" i="4" s="1"/>
  <c r="G20" i="4"/>
  <c r="G22" i="4" s="1"/>
  <c r="F20" i="4"/>
  <c r="F22" i="4" s="1"/>
  <c r="E20" i="4"/>
  <c r="E22" i="4" s="1"/>
  <c r="D20" i="4"/>
  <c r="D22" i="4" s="1"/>
  <c r="C20" i="4"/>
  <c r="C22" i="4" s="1"/>
</calcChain>
</file>

<file path=xl/sharedStrings.xml><?xml version="1.0" encoding="utf-8"?>
<sst xmlns="http://schemas.openxmlformats.org/spreadsheetml/2006/main" count="391" uniqueCount="271">
  <si>
    <t>Legend — what the IDs mean</t>
  </si>
  <si>
    <t>Each ID = workstream letter + running number within that workstream (G1 = first Grade 1 activity).</t>
  </si>
  <si>
    <t>ID prefix</t>
  </si>
  <si>
    <t>Workstream</t>
  </si>
  <si>
    <t>Example</t>
  </si>
  <si>
    <t>F</t>
  </si>
  <si>
    <t>Foundation — groundwork everything else depends on</t>
  </si>
  <si>
    <t>F1 Thank-you note to every family</t>
  </si>
  <si>
    <t>W</t>
  </si>
  <si>
    <t>Warm list — families who already know HLC</t>
  </si>
  <si>
    <t>W2 Call the ≈85 returning families</t>
  </si>
  <si>
    <t>C</t>
  </si>
  <si>
    <t>Community — ambassadors, golu, posters, Navaratri</t>
  </si>
  <si>
    <t>C1 Recruit six hotspot ambassadors</t>
  </si>
  <si>
    <t>G</t>
  </si>
  <si>
    <t>Grade 1 campaign</t>
  </si>
  <si>
    <t>G3 Ready for Real School sessions</t>
  </si>
  <si>
    <t>P</t>
  </si>
  <si>
    <t>Preschool feeders</t>
  </si>
  <si>
    <t>P2 Founder visits to preschools</t>
  </si>
  <si>
    <t>D</t>
  </si>
  <si>
    <t>Digital — WhatsApp and ads</t>
  </si>
  <si>
    <t>D2 Geo-targeted ads within 5 km</t>
  </si>
  <si>
    <t>E</t>
  </si>
  <si>
    <t>Event — Vijayadasami, 20 October</t>
  </si>
  <si>
    <t>E3 The Vidyarambham morning</t>
  </si>
  <si>
    <t>R</t>
  </si>
  <si>
    <t>Review — scorecard and checkpoints</t>
  </si>
  <si>
    <t>R2 The 8 October checkpoint</t>
  </si>
  <si>
    <t>O</t>
  </si>
  <si>
    <t>Orientation — Niharika's self-enablement</t>
  </si>
  <si>
    <t>O1 Links to the orientation workbook</t>
  </si>
  <si>
    <t>SW</t>
  </si>
  <si>
    <t>Switchers — the purple lane</t>
  </si>
  <si>
    <t>SW6 The "Changing schools?" desk</t>
  </si>
  <si>
    <t>FS</t>
  </si>
  <si>
    <t>Parent fact sheets</t>
  </si>
  <si>
    <t>FS1 Founders approve the fact sheets</t>
  </si>
  <si>
    <t xml:space="preserve"> </t>
  </si>
  <si>
    <t>Milestone code</t>
  </si>
  <si>
    <t>Meaning</t>
  </si>
  <si>
    <t>M0–M8, M2b</t>
  </si>
  <si>
    <t>Main sprint milestones (see Milestones sheet)</t>
  </si>
  <si>
    <t>SW-M1 to SW-M3</t>
  </si>
  <si>
    <t>Switcher milestones</t>
  </si>
  <si>
    <t>Checkpoint</t>
  </si>
  <si>
    <t>The 8 October go-or-adjust review</t>
  </si>
  <si>
    <t>HLC Sales Execution Calendar — 1 to 23 October 2026</t>
  </si>
  <si>
    <t>Day 0 = Thu 1 Oct (Niharika joins). Weekends and holidays (2 Oct, 19 Oct) are non-working. 12 working days to Vijayadasami. Targets: 20 KG + 10 Grade 1 seats from 200 leads.</t>
  </si>
  <si>
    <t>ID</t>
  </si>
  <si>
    <t>Activity</t>
  </si>
  <si>
    <t>Owner</t>
  </si>
  <si>
    <t>Start day</t>
  </si>
  <si>
    <t>Start date</t>
  </si>
  <si>
    <t>Due day</t>
  </si>
  <si>
    <t>Due date</t>
  </si>
  <si>
    <t>Output</t>
  </si>
  <si>
    <t>Milestone</t>
  </si>
  <si>
    <t>Status</t>
  </si>
  <si>
    <t>0 Orientation</t>
  </si>
  <si>
    <t>O1</t>
  </si>
  <si>
    <t>Self-enablement plan — see HLC_Growth_Leader_Orientation.xlsx</t>
  </si>
  <si>
    <t>Niharika</t>
  </si>
  <si>
    <t>Orientation pack</t>
  </si>
  <si>
    <t>★ M0</t>
  </si>
  <si>
    <t>Not started</t>
  </si>
  <si>
    <t>1 Foundation</t>
  </si>
  <si>
    <t>F1</t>
  </si>
  <si>
    <t>Thank-you note to every family, with alumni proof points</t>
  </si>
  <si>
    <t>Founders + Niharika</t>
  </si>
  <si>
    <t>Sent to all families</t>
  </si>
  <si>
    <t>★ M1</t>
  </si>
  <si>
    <t>F2</t>
  </si>
  <si>
    <t>Website live: seat counts, one-field enquiry form, Vidyarambham invite</t>
  </si>
  <si>
    <t>Niharika + web vendor</t>
  </si>
  <si>
    <t>Live page</t>
  </si>
  <si>
    <t>★ M2</t>
  </si>
  <si>
    <t>F3</t>
  </si>
  <si>
    <t>Enquiry tracker and daily scorecard set up (Google Sheet)</t>
  </si>
  <si>
    <t>Tracker live</t>
  </si>
  <si>
    <t>F4</t>
  </si>
  <si>
    <t>HLC Discover quick wins: signage, KG toilet tour-ready, Circle of Three tops and badges, photo wall</t>
  </si>
  <si>
    <t>KG coordinator</t>
  </si>
  <si>
    <t>Campus tour-ready</t>
  </si>
  <si>
    <t>★ M4</t>
  </si>
  <si>
    <t>F5</t>
  </si>
  <si>
    <t>Google Business listing: HLC Discover — the early years of HLC International</t>
  </si>
  <si>
    <t>Listing live</t>
  </si>
  <si>
    <t>F6</t>
  </si>
  <si>
    <t>Hire three field staff for one month: two outreach, one logistics</t>
  </si>
  <si>
    <t>Founders</t>
  </si>
  <si>
    <t>Staff in place</t>
  </si>
  <si>
    <t>2 Warm list</t>
  </si>
  <si>
    <t>W1</t>
  </si>
  <si>
    <t>Build the returning-families list (≈85), checked against admissions records</t>
  </si>
  <si>
    <t>Niharika + admissions</t>
  </si>
  <si>
    <t>Clean call list</t>
  </si>
  <si>
    <t>W2</t>
  </si>
  <si>
    <t>Call returning families with the early-bird offer — 15 a day</t>
  </si>
  <si>
    <t>All ≈85 contacted</t>
  </si>
  <si>
    <t>★ M5</t>
  </si>
  <si>
    <t>W3</t>
  </si>
  <si>
    <t>Founders call current families with a younger child, and alumni families</t>
  </si>
  <si>
    <t>All called</t>
  </si>
  <si>
    <t>3 Community</t>
  </si>
  <si>
    <t>C1</t>
  </si>
  <si>
    <t>Recruit one parent ambassador in each of the six hotspot communities</t>
  </si>
  <si>
    <t>Niharika + founders</t>
  </si>
  <si>
    <t>6 ambassadors</t>
  </si>
  <si>
    <t>★ M3</t>
  </si>
  <si>
    <t>C2</t>
  </si>
  <si>
    <t>Golu invitations: 20–30 crafted with gift; e-invite design for all</t>
  </si>
  <si>
    <t>Logistics staff</t>
  </si>
  <si>
    <t>Invites ready</t>
  </si>
  <si>
    <t>C4</t>
  </si>
  <si>
    <t>A3 posters in communities, with association permission</t>
  </si>
  <si>
    <t>Outreach staff</t>
  </si>
  <si>
    <t>Posters up</t>
  </si>
  <si>
    <t>C3</t>
  </si>
  <si>
    <t>Distribute invitations; e-invites shared by every family</t>
  </si>
  <si>
    <t>Ambassadors + staff</t>
  </si>
  <si>
    <t>Invites out</t>
  </si>
  <si>
    <t>C5</t>
  </si>
  <si>
    <t>Navaratri play corner in hotspot communities (weekday dates; weekend only with founder approval)</t>
  </si>
  <si>
    <t>Niharika + ambassadors</t>
  </si>
  <si>
    <t>2–3 corners run</t>
  </si>
  <si>
    <t>C6</t>
  </si>
  <si>
    <t>HLC golu on campus for the neighbourhood</t>
  </si>
  <si>
    <t>KG team</t>
  </si>
  <si>
    <t>Golu held</t>
  </si>
  <si>
    <t>4 Grade 1</t>
  </si>
  <si>
    <t>G1</t>
  </si>
  <si>
    <t>"Ready for Real School" one-page checklist for UKG parents</t>
  </si>
  <si>
    <t>Niharika + Grade 1 teacher</t>
  </si>
  <si>
    <t>PDF ready</t>
  </si>
  <si>
    <t>G4</t>
  </si>
  <si>
    <t>Search ads: "Grade 1 admission near me", 5 km</t>
  </si>
  <si>
    <t>Ads live</t>
  </si>
  <si>
    <t>G2</t>
  </si>
  <si>
    <t>Share the checklist through community WhatsApp groups and ambassadors</t>
  </si>
  <si>
    <t>Ambassadors</t>
  </si>
  <si>
    <t>Shared widely</t>
  </si>
  <si>
    <t>G3</t>
  </si>
  <si>
    <t>"Ready for Real School" weekday session, 3:30–5 pm, open to any UKG child</t>
  </si>
  <si>
    <t>Grade 1 team</t>
  </si>
  <si>
    <t>Two sessions held</t>
  </si>
  <si>
    <t>★ M6</t>
  </si>
  <si>
    <t>5 Feeders</t>
  </si>
  <si>
    <t>P1</t>
  </si>
  <si>
    <t>List preschools within 5 km; invite their UKG parents to Ready for Real School</t>
  </si>
  <si>
    <t>List ready</t>
  </si>
  <si>
    <t>P2</t>
  </si>
  <si>
    <t>Founder visits to preschools, two a day; disclosed partnership where agreed</t>
  </si>
  <si>
    <t>Visits done</t>
  </si>
  <si>
    <t>6 Digital</t>
  </si>
  <si>
    <t>D1</t>
  </si>
  <si>
    <t>WhatsApp status calendar — rotate campaign clips daily</t>
  </si>
  <si>
    <t>Daily posts</t>
  </si>
  <si>
    <t>D2</t>
  </si>
  <si>
    <t>Geo-targeted Instagram and Meta ads, 5 km</t>
  </si>
  <si>
    <t>7 Event</t>
  </si>
  <si>
    <t>E1</t>
  </si>
  <si>
    <t>Vidyarambham and open morning: three slots, tent, booking desks, early-bird</t>
  </si>
  <si>
    <t>Founders + KG team</t>
  </si>
  <si>
    <t>Event ready</t>
  </si>
  <si>
    <t>E2</t>
  </si>
  <si>
    <t>Registrations confirmed and reminders sent</t>
  </si>
  <si>
    <t>Final list</t>
  </si>
  <si>
    <t>★ M7</t>
  </si>
  <si>
    <t>E3</t>
  </si>
  <si>
    <t>★ Vijayadasami: Vidyarambham, golu, open morning, three slots</t>
  </si>
  <si>
    <t>All</t>
  </si>
  <si>
    <t>Admissions booked</t>
  </si>
  <si>
    <t>★ M8</t>
  </si>
  <si>
    <t>E4</t>
  </si>
  <si>
    <t>Follow up every undecided family personally</t>
  </si>
  <si>
    <t>Closures</t>
  </si>
  <si>
    <t>8 Review</t>
  </si>
  <si>
    <t>R1</t>
  </si>
  <si>
    <t>Daily scorecard, updated every evening</t>
  </si>
  <si>
    <t>Scorecard</t>
  </si>
  <si>
    <t>R2</t>
  </si>
  <si>
    <t>Checkpoint: KG enquiries ≥ 50 and Grade 1 ≥ 25, else add a community event and the mall activation</t>
  </si>
  <si>
    <t>Go / adjust</t>
  </si>
  <si>
    <t>★ Checkpoint</t>
  </si>
  <si>
    <t>R3</t>
  </si>
  <si>
    <t>Weekly review with founders</t>
  </si>
  <si>
    <t>Review notes</t>
  </si>
  <si>
    <t>9 Switchers — families already changing school, any grade (purple lane)</t>
  </si>
  <si>
    <t>9 Switchers</t>
  </si>
  <si>
    <t>SW1</t>
  </si>
  <si>
    <t>Switcher answer card and the "Changing schools?" parent deck ready — includes the three stage one-pagers; refresh the deck whenever a one-pager changes</t>
  </si>
  <si>
    <t>Deck and card</t>
  </si>
  <si>
    <t>★ SW-M1</t>
  </si>
  <si>
    <t>SW2</t>
  </si>
  <si>
    <t>Add a "Changing schools?" line to the website, Google listing and WhatsApp clips</t>
  </si>
  <si>
    <t>Live everywhere</t>
  </si>
  <si>
    <t>SW3</t>
  </si>
  <si>
    <t>Triage: switcher enquiries go the same day to Parent Connect and grade coordinators</t>
  </si>
  <si>
    <t>Parent Connect</t>
  </si>
  <si>
    <t>Routing agreed</t>
  </si>
  <si>
    <t>SW4</t>
  </si>
  <si>
    <t>Search ads within 5 km: "change school OMR", "Cambridge school near me" — inside the existing ad budget</t>
  </si>
  <si>
    <t>SW5</t>
  </si>
  <si>
    <t>Transition conversations: two a day, held by grade coordinators</t>
  </si>
  <si>
    <t>Grade coordinators</t>
  </si>
  <si>
    <t>Conversations held</t>
  </si>
  <si>
    <t>SW6</t>
  </si>
  <si>
    <t>20 Oct: open classrooms for Grades 2–9 and 11, with a "Changing schools?" desk</t>
  </si>
  <si>
    <t>Coordinators</t>
  </si>
  <si>
    <t>Desk staffed</t>
  </si>
  <si>
    <t>★ SW-M2</t>
  </si>
  <si>
    <t>SW7</t>
  </si>
  <si>
    <t>Follow up every switcher; mark each as join-now or June 2027</t>
  </si>
  <si>
    <t>Pipeline list</t>
  </si>
  <si>
    <t>★ SW-M3</t>
  </si>
  <si>
    <t>10 Parent fact sheets — needed by both lanes</t>
  </si>
  <si>
    <t>10 Fact sheets</t>
  </si>
  <si>
    <t>FS1</t>
  </si>
  <si>
    <t>Founders fill and approve fees, timings, class sizes and process in HLC_Parent_Fact_Sheets.docx</t>
  </si>
  <si>
    <t>Approved sheets</t>
  </si>
  <si>
    <t>★ M2b</t>
  </si>
  <si>
    <t>FS2</t>
  </si>
  <si>
    <t>Fact sheets and the Changing Schools FAQ on the website and in every WhatsApp follow-up</t>
  </si>
  <si>
    <t>Live</t>
  </si>
  <si>
    <t>Quick wins and milestones</t>
  </si>
  <si>
    <t>Each is a date the founders can check.</t>
  </si>
  <si>
    <t>Day</t>
  </si>
  <si>
    <t>Date</t>
  </si>
  <si>
    <t>What</t>
  </si>
  <si>
    <t>Measure</t>
  </si>
  <si>
    <t>Done?</t>
  </si>
  <si>
    <t>Orientation pack started</t>
  </si>
  <si>
    <t>Deliverables in the orientation workbook</t>
  </si>
  <si>
    <t>Thank-you note sent to every family</t>
  </si>
  <si>
    <t>100% of families</t>
  </si>
  <si>
    <t>Website live with seat counts and form</t>
  </si>
  <si>
    <t>Six hotspot ambassadors in place</t>
  </si>
  <si>
    <t>6</t>
  </si>
  <si>
    <t>KG ≥ 50 and Grade 1 ≥ 25 enquiries</t>
  </si>
  <si>
    <t>Campus tour-ready as HLC Discover</t>
  </si>
  <si>
    <t>Signage, toilet, tops, photo wall</t>
  </si>
  <si>
    <t>All ≈85 returning families contacted</t>
  </si>
  <si>
    <t>85</t>
  </si>
  <si>
    <t>Two Ready for Real School sessions held</t>
  </si>
  <si>
    <t>2</t>
  </si>
  <si>
    <t>Vidyarambham registrations confirmed</t>
  </si>
  <si>
    <t>Target 100 families</t>
  </si>
  <si>
    <t>Vijayadasami: 20 KG + 10 Grade 1 booked or in final follow-up</t>
  </si>
  <si>
    <t>30 seats</t>
  </si>
  <si>
    <t>Switcher deck and answer card ready</t>
  </si>
  <si>
    <t>Ready</t>
  </si>
  <si>
    <t>"Changing schools?" desk on 20 October</t>
  </si>
  <si>
    <t>Staffed</t>
  </si>
  <si>
    <t>Switcher pipeline classified</t>
  </si>
  <si>
    <t>40 leads; 5 confirmed now</t>
  </si>
  <si>
    <t>Parent fact sheets approved — fees, payment terms, timings, steps</t>
  </si>
  <si>
    <t>Three sheets and FAQ</t>
  </si>
  <si>
    <t>Daily scorecard</t>
  </si>
  <si>
    <t>Enter each evening. Totals and gaps calculate automatically.</t>
  </si>
  <si>
    <t>KG enquiries</t>
  </si>
  <si>
    <t>Grade 1 enquiries</t>
  </si>
  <si>
    <t>Visits</t>
  </si>
  <si>
    <t>Applications</t>
  </si>
  <si>
    <t>KG seats</t>
  </si>
  <si>
    <t>Grade 1 seats</t>
  </si>
  <si>
    <t>Switcher leads</t>
  </si>
  <si>
    <t>Switcher confirmations</t>
  </si>
  <si>
    <t>Total</t>
  </si>
  <si>
    <t>Target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</si>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</sst>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\ mmm"/>
  </numFmts>
  <fonts count="20" x14ac:knownFonts="1">
    <font>
      <sz val="11"/>
      <color theme="1"/>
      <name val="Calibri"/>
      <family val="2"/>
      <charset val="1"/>
    </font>
    <font>
      <b/>
      <sz val="15"/>
      <color rgb="FF1F4E79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1"/>
      <color rgb="FF1F4E79"/>
      <name val="Arial"/>
      <charset val="1"/>
    </font>
    <font>
      <sz val="9.5"/>
      <name val="Arial"/>
      <charset val="1"/>
    </font>
    <font>
      <b/>
      <sz val="9.5"/>
      <name val="Arial"/>
      <charset val="1"/>
    </font>
    <font>
      <b/>
      <sz val="11"/>
      <color rgb="FFFFFFFF"/>
      <name val="Arial"/>
      <charset val="1"/>
    </font>
    <font>
      <sz val="9.5"/>
      <color rgb="FF5B2C83"/>
      <name val="Arial"/>
      <charset val="1"/>
    </font>
    <font>
      <b/>
      <sz val="9.5"/>
      <color rgb="FF5B2C83"/>
      <name val="Arial"/>
      <charset val="1"/>
    </font>
    <font>
      <sz val="9.5"/>
      <color rgb="FF000000"/>
      <name val="Arial"/>
      <charset val="1"/>
    </font>
    <font>
      <b/>
      <sz val="9.5"/>
      <color rgb="FF000000"/>
      <name val="Arial"/>
      <charset val="1"/>
    </font>
    <font>
      <b/>
      <sz val="11"/>
      <name val="Arial"/>
      <charset val="1"/>
    </font>
    <font>
      <b/>
      <sz val="11"/>
      <color rgb="FF5B2C83"/>
      <name val="Arial"/>
      <charset val="1"/>
    </font>
    <font>
      <sz val="11"/>
      <color rgb="FF5B2C83"/>
      <name val="Arial"/>
      <charset val="1"/>
    </font>
    <font>
      <b/>
      <sz val="11"/>
      <color rgb="FF9C2B2B"/>
      <name val="Arial"/>
      <charset val="1"/>
    </font>
    <font>
      <b/>
      <sz val="15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333333"/>
      </patternFill>
    </fill>
    <fill>
      <patternFill patternType="solid">
        <fgColor rgb="FFDCE6F1"/>
        <bgColor rgb="FFEDE7F6"/>
      </patternFill>
    </fill>
    <fill>
      <patternFill patternType="solid">
        <fgColor rgb="FF5B2C83"/>
        <bgColor rgb="FF333333"/>
      </patternFill>
    </fill>
    <fill>
      <patternFill patternType="solid">
        <fgColor rgb="FFEDE7F6"/>
        <bgColor rgb="FFDCE6F1"/>
      </patternFill>
    </fill>
    <fill>
      <patternFill patternType="solid">
        <fgColor rgb="FF1F4E79"/>
      </patternFill>
    </fill>
    <fill>
      <patternFill patternType="solid">
        <fgColor rgb="FFEDE7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3" borderId="0" xfId="0" applyFont="1" applyFill="1"/>
    <xf numFmtId="0" fontId="0" fillId="3" borderId="0" xfId="0" applyFill="1"/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4" borderId="0" xfId="0" applyFont="1" applyFill="1"/>
    <xf numFmtId="0" fontId="0" fillId="4" borderId="0" xfId="0" applyFill="1"/>
    <xf numFmtId="0" fontId="8" fillId="5" borderId="1" xfId="0" applyFont="1" applyFill="1" applyBorder="1" applyAlignment="1">
      <alignment vertical="top" wrapText="1"/>
    </xf>
    <xf numFmtId="164" fontId="8" fillId="5" borderId="1" xfId="0" applyNumberFormat="1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164" fontId="10" fillId="0" borderId="1" xfId="0" applyNumberFormat="1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3" fillId="4" borderId="0" xfId="0" applyFont="1" applyFill="1" applyAlignment="1">
      <alignment wrapText="1"/>
    </xf>
    <xf numFmtId="0" fontId="0" fillId="5" borderId="0" xfId="0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6" borderId="0" xfId="0" applyFont="1" applyFill="1" applyAlignment="1">
      <alignment vertical="top" wrapText="1"/>
    </xf>
    <xf numFmtId="0" fontId="19" fillId="0" borderId="0" xfId="0" applyFont="1" applyAlignment="1">
      <alignment vertical="top" wrapText="1"/>
    </xf>
    <xf numFmtId="0" fontId="19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7F6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33300"/>
      <rgbColor rgb="FF9C2B2B"/>
      <rgbColor rgb="FF993366"/>
      <rgbColor rgb="FF5B2C8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workbookViewId="0">
      <selection activeCell="B6" sqref="B6"/>
    </sheetView>
  </sheetViews>
  <sheetFormatPr defaultRowHeight="14.4" x14ac:dyDescent="0.3"/>
  <cols>
    <col min="1" max="1" width="16" customWidth="1"/>
    <col min="2" max="2" width="52" customWidth="1"/>
    <col min="3" max="3" width="40" customWidth="1"/>
  </cols>
  <sheetData>
    <row r="1" spans="1:3" ht="19.2" x14ac:dyDescent="0.35">
      <c r="A1" s="26" t="s">
        <v>0</v>
      </c>
    </row>
    <row r="2" spans="1:3" x14ac:dyDescent="0.3">
      <c r="A2" s="27" t="s">
        <v>1</v>
      </c>
    </row>
    <row r="4" spans="1:3" x14ac:dyDescent="0.3">
      <c r="A4" s="28" t="s">
        <v>2</v>
      </c>
      <c r="B4" s="28" t="s">
        <v>3</v>
      </c>
      <c r="C4" s="28" t="s">
        <v>4</v>
      </c>
    </row>
    <row r="5" spans="1:3" x14ac:dyDescent="0.3">
      <c r="A5" s="29" t="s">
        <v>5</v>
      </c>
      <c r="B5" s="29" t="s">
        <v>6</v>
      </c>
      <c r="C5" s="29" t="s">
        <v>7</v>
      </c>
    </row>
    <row r="6" spans="1:3" x14ac:dyDescent="0.3">
      <c r="A6" s="29" t="s">
        <v>8</v>
      </c>
      <c r="B6" s="29" t="s">
        <v>9</v>
      </c>
      <c r="C6" s="29" t="s">
        <v>10</v>
      </c>
    </row>
    <row r="7" spans="1:3" x14ac:dyDescent="0.3">
      <c r="A7" s="29" t="s">
        <v>11</v>
      </c>
      <c r="B7" s="29" t="s">
        <v>12</v>
      </c>
      <c r="C7" s="29" t="s">
        <v>13</v>
      </c>
    </row>
    <row r="8" spans="1:3" x14ac:dyDescent="0.3">
      <c r="A8" s="29" t="s">
        <v>14</v>
      </c>
      <c r="B8" s="29" t="s">
        <v>15</v>
      </c>
      <c r="C8" s="29" t="s">
        <v>16</v>
      </c>
    </row>
    <row r="9" spans="1:3" x14ac:dyDescent="0.3">
      <c r="A9" s="29" t="s">
        <v>17</v>
      </c>
      <c r="B9" s="29" t="s">
        <v>18</v>
      </c>
      <c r="C9" s="29" t="s">
        <v>19</v>
      </c>
    </row>
    <row r="10" spans="1:3" x14ac:dyDescent="0.3">
      <c r="A10" s="29" t="s">
        <v>20</v>
      </c>
      <c r="B10" s="29" t="s">
        <v>21</v>
      </c>
      <c r="C10" s="29" t="s">
        <v>22</v>
      </c>
    </row>
    <row r="11" spans="1:3" x14ac:dyDescent="0.3">
      <c r="A11" s="29" t="s">
        <v>23</v>
      </c>
      <c r="B11" s="29" t="s">
        <v>24</v>
      </c>
      <c r="C11" s="29" t="s">
        <v>25</v>
      </c>
    </row>
    <row r="12" spans="1:3" x14ac:dyDescent="0.3">
      <c r="A12" s="29" t="s">
        <v>26</v>
      </c>
      <c r="B12" s="29" t="s">
        <v>27</v>
      </c>
      <c r="C12" s="29" t="s">
        <v>28</v>
      </c>
    </row>
    <row r="13" spans="1:3" x14ac:dyDescent="0.3">
      <c r="A13" s="29" t="s">
        <v>29</v>
      </c>
      <c r="B13" s="29" t="s">
        <v>30</v>
      </c>
      <c r="C13" s="29" t="s">
        <v>31</v>
      </c>
    </row>
    <row r="14" spans="1:3" x14ac:dyDescent="0.3">
      <c r="A14" s="30" t="s">
        <v>32</v>
      </c>
      <c r="B14" s="30" t="s">
        <v>33</v>
      </c>
      <c r="C14" s="30" t="s">
        <v>34</v>
      </c>
    </row>
    <row r="15" spans="1:3" x14ac:dyDescent="0.3">
      <c r="A15" s="29" t="s">
        <v>35</v>
      </c>
      <c r="B15" s="29" t="s">
        <v>36</v>
      </c>
      <c r="C15" s="29" t="s">
        <v>37</v>
      </c>
    </row>
    <row r="16" spans="1:3" x14ac:dyDescent="0.3">
      <c r="A16" s="29"/>
      <c r="B16" s="29" t="s">
        <v>38</v>
      </c>
      <c r="C16" s="29"/>
    </row>
    <row r="17" spans="1:3" x14ac:dyDescent="0.3">
      <c r="A17" s="28" t="s">
        <v>39</v>
      </c>
      <c r="B17" s="28" t="s">
        <v>40</v>
      </c>
      <c r="C17" s="28"/>
    </row>
    <row r="18" spans="1:3" x14ac:dyDescent="0.3">
      <c r="A18" s="29" t="s">
        <v>41</v>
      </c>
      <c r="B18" s="29" t="s">
        <v>42</v>
      </c>
      <c r="C18" s="29"/>
    </row>
    <row r="19" spans="1:3" ht="26.4" x14ac:dyDescent="0.3">
      <c r="A19" s="29" t="s">
        <v>43</v>
      </c>
      <c r="B19" s="29" t="s">
        <v>44</v>
      </c>
      <c r="C19" s="29"/>
    </row>
    <row r="20" spans="1:3" x14ac:dyDescent="0.3">
      <c r="A20" s="29" t="s">
        <v>45</v>
      </c>
      <c r="B20" s="29" t="s">
        <v>46</v>
      </c>
      <c r="C20" s="2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showGridLines="0" tabSelected="1" zoomScaleNormal="100" workbookViewId="0">
      <pane ySplit="4" topLeftCell="A5" activePane="bottomLeft" state="frozen"/>
      <selection activeCell="A5" sqref="A5"/>
      <selection pane="bottomLeft" activeCell="C9" sqref="C9"/>
    </sheetView>
  </sheetViews>
  <sheetFormatPr defaultColWidth="8.6640625" defaultRowHeight="14.4" x14ac:dyDescent="0.3"/>
  <cols>
    <col min="1" max="1" width="16" customWidth="1"/>
    <col min="2" max="2" width="5" customWidth="1"/>
    <col min="3" max="3" width="58" customWidth="1"/>
    <col min="4" max="4" width="20" customWidth="1"/>
    <col min="5" max="5" width="7" customWidth="1"/>
    <col min="6" max="6" width="11" customWidth="1"/>
    <col min="7" max="7" width="7" customWidth="1"/>
    <col min="8" max="8" width="11" customWidth="1"/>
    <col min="9" max="9" width="18" customWidth="1"/>
    <col min="10" max="11" width="12" customWidth="1"/>
  </cols>
  <sheetData>
    <row r="1" spans="1:11" ht="18" customHeight="1" x14ac:dyDescent="0.35">
      <c r="A1" s="1" t="s">
        <v>47</v>
      </c>
    </row>
    <row r="2" spans="1:11" ht="15" customHeight="1" x14ac:dyDescent="0.3">
      <c r="A2" s="2" t="s">
        <v>48</v>
      </c>
    </row>
    <row r="4" spans="1:11" ht="23.25" customHeight="1" x14ac:dyDescent="0.3">
      <c r="A4" s="3" t="s">
        <v>3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  <c r="K4" s="3" t="s">
        <v>58</v>
      </c>
    </row>
    <row r="5" spans="1:11" ht="15" customHeight="1" x14ac:dyDescent="0.3">
      <c r="A5" s="4" t="s">
        <v>59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5" customHeight="1" x14ac:dyDescent="0.3">
      <c r="A6" s="6" t="s">
        <v>59</v>
      </c>
      <c r="B6" s="6" t="s">
        <v>60</v>
      </c>
      <c r="C6" s="6" t="s">
        <v>61</v>
      </c>
      <c r="D6" s="6" t="s">
        <v>62</v>
      </c>
      <c r="E6" s="6">
        <v>0</v>
      </c>
      <c r="F6" s="7">
        <v>46296</v>
      </c>
      <c r="G6" s="6">
        <v>5</v>
      </c>
      <c r="H6" s="7">
        <v>46304</v>
      </c>
      <c r="I6" s="6" t="s">
        <v>63</v>
      </c>
      <c r="J6" s="8" t="s">
        <v>64</v>
      </c>
      <c r="K6" s="6" t="s">
        <v>65</v>
      </c>
    </row>
    <row r="7" spans="1:11" ht="15" customHeight="1" x14ac:dyDescent="0.3">
      <c r="A7" s="4" t="s">
        <v>66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5" customHeight="1" x14ac:dyDescent="0.3">
      <c r="A8" s="6" t="s">
        <v>66</v>
      </c>
      <c r="B8" s="6" t="s">
        <v>67</v>
      </c>
      <c r="C8" s="6" t="s">
        <v>68</v>
      </c>
      <c r="D8" s="6" t="s">
        <v>69</v>
      </c>
      <c r="E8" s="6">
        <v>0</v>
      </c>
      <c r="F8" s="7">
        <v>46296</v>
      </c>
      <c r="G8" s="6">
        <v>1</v>
      </c>
      <c r="H8" s="7">
        <v>46300</v>
      </c>
      <c r="I8" s="6" t="s">
        <v>70</v>
      </c>
      <c r="J8" s="8" t="s">
        <v>71</v>
      </c>
      <c r="K8" s="6" t="s">
        <v>65</v>
      </c>
    </row>
    <row r="9" spans="1:11" ht="15" customHeight="1" x14ac:dyDescent="0.3">
      <c r="A9" s="6" t="s">
        <v>66</v>
      </c>
      <c r="B9" s="6" t="s">
        <v>72</v>
      </c>
      <c r="C9" s="6" t="s">
        <v>73</v>
      </c>
      <c r="D9" s="6" t="s">
        <v>74</v>
      </c>
      <c r="E9" s="6">
        <v>0</v>
      </c>
      <c r="F9" s="7">
        <v>46296</v>
      </c>
      <c r="G9" s="6">
        <v>2</v>
      </c>
      <c r="H9" s="7">
        <v>46301</v>
      </c>
      <c r="I9" s="6" t="s">
        <v>75</v>
      </c>
      <c r="J9" s="8" t="s">
        <v>76</v>
      </c>
      <c r="K9" s="6" t="s">
        <v>65</v>
      </c>
    </row>
    <row r="10" spans="1:11" ht="15" customHeight="1" x14ac:dyDescent="0.3">
      <c r="A10" s="6" t="s">
        <v>66</v>
      </c>
      <c r="B10" s="6" t="s">
        <v>77</v>
      </c>
      <c r="C10" s="6" t="s">
        <v>78</v>
      </c>
      <c r="D10" s="6" t="s">
        <v>62</v>
      </c>
      <c r="E10" s="6">
        <v>0</v>
      </c>
      <c r="F10" s="7">
        <v>46296</v>
      </c>
      <c r="G10" s="6">
        <v>1</v>
      </c>
      <c r="H10" s="7">
        <v>46300</v>
      </c>
      <c r="I10" s="6" t="s">
        <v>79</v>
      </c>
      <c r="J10" s="6"/>
      <c r="K10" s="6" t="s">
        <v>65</v>
      </c>
    </row>
    <row r="11" spans="1:11" ht="23.25" customHeight="1" x14ac:dyDescent="0.3">
      <c r="A11" s="6" t="s">
        <v>66</v>
      </c>
      <c r="B11" s="6" t="s">
        <v>80</v>
      </c>
      <c r="C11" s="6" t="s">
        <v>81</v>
      </c>
      <c r="D11" s="6" t="s">
        <v>82</v>
      </c>
      <c r="E11" s="6">
        <v>1</v>
      </c>
      <c r="F11" s="7">
        <v>46300</v>
      </c>
      <c r="G11" s="6">
        <v>5</v>
      </c>
      <c r="H11" s="7">
        <v>46304</v>
      </c>
      <c r="I11" s="6" t="s">
        <v>83</v>
      </c>
      <c r="J11" s="8" t="s">
        <v>84</v>
      </c>
      <c r="K11" s="6" t="s">
        <v>65</v>
      </c>
    </row>
    <row r="12" spans="1:11" ht="23.25" customHeight="1" x14ac:dyDescent="0.3">
      <c r="A12" s="6" t="s">
        <v>66</v>
      </c>
      <c r="B12" s="6" t="s">
        <v>85</v>
      </c>
      <c r="C12" s="6" t="s">
        <v>86</v>
      </c>
      <c r="D12" s="6" t="s">
        <v>62</v>
      </c>
      <c r="E12" s="6">
        <v>1</v>
      </c>
      <c r="F12" s="7">
        <v>46300</v>
      </c>
      <c r="G12" s="6">
        <v>3</v>
      </c>
      <c r="H12" s="7">
        <v>46302</v>
      </c>
      <c r="I12" s="6" t="s">
        <v>87</v>
      </c>
      <c r="J12" s="6"/>
      <c r="K12" s="6" t="s">
        <v>65</v>
      </c>
    </row>
    <row r="13" spans="1:11" ht="15" customHeight="1" x14ac:dyDescent="0.3">
      <c r="A13" s="6" t="s">
        <v>66</v>
      </c>
      <c r="B13" s="6" t="s">
        <v>88</v>
      </c>
      <c r="C13" s="6" t="s">
        <v>89</v>
      </c>
      <c r="D13" s="6" t="s">
        <v>90</v>
      </c>
      <c r="E13" s="6">
        <v>1</v>
      </c>
      <c r="F13" s="7">
        <v>46300</v>
      </c>
      <c r="G13" s="6">
        <v>4</v>
      </c>
      <c r="H13" s="7">
        <v>46303</v>
      </c>
      <c r="I13" s="6" t="s">
        <v>91</v>
      </c>
      <c r="J13" s="6"/>
      <c r="K13" s="6" t="s">
        <v>65</v>
      </c>
    </row>
    <row r="14" spans="1:11" ht="15" customHeight="1" x14ac:dyDescent="0.3">
      <c r="A14" s="4" t="s">
        <v>92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23.25" customHeight="1" x14ac:dyDescent="0.3">
      <c r="A15" s="6" t="s">
        <v>92</v>
      </c>
      <c r="B15" s="6" t="s">
        <v>93</v>
      </c>
      <c r="C15" s="6" t="s">
        <v>94</v>
      </c>
      <c r="D15" s="6" t="s">
        <v>95</v>
      </c>
      <c r="E15" s="6">
        <v>0</v>
      </c>
      <c r="F15" s="7">
        <v>46296</v>
      </c>
      <c r="G15" s="6">
        <v>1</v>
      </c>
      <c r="H15" s="7">
        <v>46300</v>
      </c>
      <c r="I15" s="6" t="s">
        <v>96</v>
      </c>
      <c r="J15" s="6"/>
      <c r="K15" s="6" t="s">
        <v>65</v>
      </c>
    </row>
    <row r="16" spans="1:11" ht="15" customHeight="1" x14ac:dyDescent="0.3">
      <c r="A16" s="6" t="s">
        <v>92</v>
      </c>
      <c r="B16" s="6" t="s">
        <v>97</v>
      </c>
      <c r="C16" s="6" t="s">
        <v>98</v>
      </c>
      <c r="D16" s="6" t="s">
        <v>62</v>
      </c>
      <c r="E16" s="6">
        <v>1</v>
      </c>
      <c r="F16" s="7">
        <v>46300</v>
      </c>
      <c r="G16" s="6">
        <v>6</v>
      </c>
      <c r="H16" s="7">
        <v>46307</v>
      </c>
      <c r="I16" s="6" t="s">
        <v>99</v>
      </c>
      <c r="J16" s="8" t="s">
        <v>100</v>
      </c>
      <c r="K16" s="6" t="s">
        <v>65</v>
      </c>
    </row>
    <row r="17" spans="1:11" ht="15" customHeight="1" x14ac:dyDescent="0.3">
      <c r="A17" s="6" t="s">
        <v>92</v>
      </c>
      <c r="B17" s="6" t="s">
        <v>101</v>
      </c>
      <c r="C17" s="6" t="s">
        <v>102</v>
      </c>
      <c r="D17" s="6" t="s">
        <v>90</v>
      </c>
      <c r="E17" s="6">
        <v>1</v>
      </c>
      <c r="F17" s="7">
        <v>46300</v>
      </c>
      <c r="G17" s="6">
        <v>8</v>
      </c>
      <c r="H17" s="7">
        <v>46309</v>
      </c>
      <c r="I17" s="6" t="s">
        <v>103</v>
      </c>
      <c r="J17" s="6"/>
      <c r="K17" s="6" t="s">
        <v>65</v>
      </c>
    </row>
    <row r="18" spans="1:11" ht="15" customHeight="1" x14ac:dyDescent="0.3">
      <c r="A18" s="4" t="s">
        <v>104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5" customHeight="1" x14ac:dyDescent="0.3">
      <c r="A19" s="6" t="s">
        <v>104</v>
      </c>
      <c r="B19" s="6" t="s">
        <v>105</v>
      </c>
      <c r="C19" s="6" t="s">
        <v>106</v>
      </c>
      <c r="D19" s="6" t="s">
        <v>107</v>
      </c>
      <c r="E19" s="6">
        <v>1</v>
      </c>
      <c r="F19" s="7">
        <v>46300</v>
      </c>
      <c r="G19" s="6">
        <v>4</v>
      </c>
      <c r="H19" s="7">
        <v>46303</v>
      </c>
      <c r="I19" s="6" t="s">
        <v>108</v>
      </c>
      <c r="J19" s="8" t="s">
        <v>109</v>
      </c>
      <c r="K19" s="6" t="s">
        <v>65</v>
      </c>
    </row>
    <row r="20" spans="1:11" ht="15" customHeight="1" x14ac:dyDescent="0.3">
      <c r="A20" s="6" t="s">
        <v>104</v>
      </c>
      <c r="B20" s="6" t="s">
        <v>110</v>
      </c>
      <c r="C20" s="6" t="s">
        <v>111</v>
      </c>
      <c r="D20" s="6" t="s">
        <v>112</v>
      </c>
      <c r="E20" s="6">
        <v>2</v>
      </c>
      <c r="F20" s="7">
        <v>46301</v>
      </c>
      <c r="G20" s="6">
        <v>5</v>
      </c>
      <c r="H20" s="7">
        <v>46304</v>
      </c>
      <c r="I20" s="6" t="s">
        <v>113</v>
      </c>
      <c r="J20" s="6"/>
      <c r="K20" s="6" t="s">
        <v>65</v>
      </c>
    </row>
    <row r="21" spans="1:11" ht="15" customHeight="1" x14ac:dyDescent="0.3">
      <c r="A21" s="6" t="s">
        <v>104</v>
      </c>
      <c r="B21" s="6" t="s">
        <v>114</v>
      </c>
      <c r="C21" s="6" t="s">
        <v>115</v>
      </c>
      <c r="D21" s="6" t="s">
        <v>116</v>
      </c>
      <c r="E21" s="6">
        <v>3</v>
      </c>
      <c r="F21" s="7">
        <v>46302</v>
      </c>
      <c r="G21" s="6">
        <v>7</v>
      </c>
      <c r="H21" s="7">
        <v>46308</v>
      </c>
      <c r="I21" s="6" t="s">
        <v>117</v>
      </c>
      <c r="J21" s="6"/>
      <c r="K21" s="6" t="s">
        <v>65</v>
      </c>
    </row>
    <row r="22" spans="1:11" ht="15" customHeight="1" x14ac:dyDescent="0.3">
      <c r="A22" s="6" t="s">
        <v>104</v>
      </c>
      <c r="B22" s="6" t="s">
        <v>118</v>
      </c>
      <c r="C22" s="6" t="s">
        <v>119</v>
      </c>
      <c r="D22" s="6" t="s">
        <v>120</v>
      </c>
      <c r="E22" s="6">
        <v>5</v>
      </c>
      <c r="F22" s="7">
        <v>46304</v>
      </c>
      <c r="G22" s="6">
        <v>8</v>
      </c>
      <c r="H22" s="7">
        <v>46309</v>
      </c>
      <c r="I22" s="6" t="s">
        <v>121</v>
      </c>
      <c r="J22" s="6"/>
      <c r="K22" s="6" t="s">
        <v>65</v>
      </c>
    </row>
    <row r="23" spans="1:11" ht="23.25" customHeight="1" x14ac:dyDescent="0.3">
      <c r="A23" s="6" t="s">
        <v>104</v>
      </c>
      <c r="B23" s="6" t="s">
        <v>122</v>
      </c>
      <c r="C23" s="6" t="s">
        <v>123</v>
      </c>
      <c r="D23" s="6" t="s">
        <v>124</v>
      </c>
      <c r="E23" s="6">
        <v>6</v>
      </c>
      <c r="F23" s="7">
        <v>46307</v>
      </c>
      <c r="G23" s="6">
        <v>10</v>
      </c>
      <c r="H23" s="7">
        <v>46311</v>
      </c>
      <c r="I23" s="6" t="s">
        <v>125</v>
      </c>
      <c r="J23" s="6"/>
      <c r="K23" s="6" t="s">
        <v>65</v>
      </c>
    </row>
    <row r="24" spans="1:11" ht="15" customHeight="1" x14ac:dyDescent="0.3">
      <c r="A24" s="6" t="s">
        <v>104</v>
      </c>
      <c r="B24" s="6" t="s">
        <v>126</v>
      </c>
      <c r="C24" s="6" t="s">
        <v>127</v>
      </c>
      <c r="D24" s="6" t="s">
        <v>128</v>
      </c>
      <c r="E24" s="6">
        <v>8</v>
      </c>
      <c r="F24" s="7">
        <v>46309</v>
      </c>
      <c r="G24" s="6">
        <v>8</v>
      </c>
      <c r="H24" s="7">
        <v>46309</v>
      </c>
      <c r="I24" s="6" t="s">
        <v>129</v>
      </c>
      <c r="J24" s="6"/>
      <c r="K24" s="6" t="s">
        <v>65</v>
      </c>
    </row>
    <row r="25" spans="1:11" ht="15" customHeight="1" x14ac:dyDescent="0.3">
      <c r="A25" s="4" t="s">
        <v>130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23.25" customHeight="1" x14ac:dyDescent="0.3">
      <c r="A26" s="6" t="s">
        <v>130</v>
      </c>
      <c r="B26" s="6" t="s">
        <v>131</v>
      </c>
      <c r="C26" s="6" t="s">
        <v>132</v>
      </c>
      <c r="D26" s="6" t="s">
        <v>133</v>
      </c>
      <c r="E26" s="6">
        <v>2</v>
      </c>
      <c r="F26" s="7">
        <v>46301</v>
      </c>
      <c r="G26" s="6">
        <v>4</v>
      </c>
      <c r="H26" s="7">
        <v>46303</v>
      </c>
      <c r="I26" s="6" t="s">
        <v>134</v>
      </c>
      <c r="J26" s="6"/>
      <c r="K26" s="6" t="s">
        <v>65</v>
      </c>
    </row>
    <row r="27" spans="1:11" ht="15" customHeight="1" x14ac:dyDescent="0.3">
      <c r="A27" s="6" t="s">
        <v>130</v>
      </c>
      <c r="B27" s="6" t="s">
        <v>135</v>
      </c>
      <c r="C27" s="6" t="s">
        <v>136</v>
      </c>
      <c r="D27" s="6" t="s">
        <v>62</v>
      </c>
      <c r="E27" s="6">
        <v>3</v>
      </c>
      <c r="F27" s="7">
        <v>46302</v>
      </c>
      <c r="G27" s="6">
        <v>11</v>
      </c>
      <c r="H27" s="7">
        <v>46315</v>
      </c>
      <c r="I27" s="6" t="s">
        <v>137</v>
      </c>
      <c r="J27" s="6"/>
      <c r="K27" s="6" t="s">
        <v>65</v>
      </c>
    </row>
    <row r="28" spans="1:11" ht="23.25" customHeight="1" x14ac:dyDescent="0.3">
      <c r="A28" s="6" t="s">
        <v>130</v>
      </c>
      <c r="B28" s="6" t="s">
        <v>138</v>
      </c>
      <c r="C28" s="6" t="s">
        <v>139</v>
      </c>
      <c r="D28" s="6" t="s">
        <v>140</v>
      </c>
      <c r="E28" s="6">
        <v>5</v>
      </c>
      <c r="F28" s="7">
        <v>46304</v>
      </c>
      <c r="G28" s="6">
        <v>11</v>
      </c>
      <c r="H28" s="7">
        <v>46315</v>
      </c>
      <c r="I28" s="6" t="s">
        <v>141</v>
      </c>
      <c r="J28" s="6"/>
      <c r="K28" s="6" t="s">
        <v>65</v>
      </c>
    </row>
    <row r="29" spans="1:11" ht="23.25" customHeight="1" x14ac:dyDescent="0.3">
      <c r="A29" s="6" t="s">
        <v>130</v>
      </c>
      <c r="B29" s="6" t="s">
        <v>142</v>
      </c>
      <c r="C29" s="6" t="s">
        <v>143</v>
      </c>
      <c r="D29" s="6" t="s">
        <v>144</v>
      </c>
      <c r="E29" s="6">
        <v>7</v>
      </c>
      <c r="F29" s="7">
        <v>46308</v>
      </c>
      <c r="G29" s="6">
        <v>9</v>
      </c>
      <c r="H29" s="7">
        <v>46310</v>
      </c>
      <c r="I29" s="6" t="s">
        <v>145</v>
      </c>
      <c r="J29" s="8" t="s">
        <v>146</v>
      </c>
      <c r="K29" s="6" t="s">
        <v>65</v>
      </c>
    </row>
    <row r="30" spans="1:11" ht="15" customHeight="1" x14ac:dyDescent="0.3">
      <c r="A30" s="4" t="s">
        <v>147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ht="23.25" customHeight="1" x14ac:dyDescent="0.3">
      <c r="A31" s="6" t="s">
        <v>147</v>
      </c>
      <c r="B31" s="6" t="s">
        <v>148</v>
      </c>
      <c r="C31" s="6" t="s">
        <v>149</v>
      </c>
      <c r="D31" s="6" t="s">
        <v>116</v>
      </c>
      <c r="E31" s="6">
        <v>1</v>
      </c>
      <c r="F31" s="7">
        <v>46300</v>
      </c>
      <c r="G31" s="6">
        <v>2</v>
      </c>
      <c r="H31" s="7">
        <v>46301</v>
      </c>
      <c r="I31" s="6" t="s">
        <v>150</v>
      </c>
      <c r="J31" s="6"/>
      <c r="K31" s="6" t="s">
        <v>65</v>
      </c>
    </row>
    <row r="32" spans="1:11" ht="23.25" customHeight="1" x14ac:dyDescent="0.3">
      <c r="A32" s="6" t="s">
        <v>147</v>
      </c>
      <c r="B32" s="6" t="s">
        <v>151</v>
      </c>
      <c r="C32" s="6" t="s">
        <v>152</v>
      </c>
      <c r="D32" s="6" t="s">
        <v>90</v>
      </c>
      <c r="E32" s="6">
        <v>3</v>
      </c>
      <c r="F32" s="7">
        <v>46302</v>
      </c>
      <c r="G32" s="6">
        <v>8</v>
      </c>
      <c r="H32" s="7">
        <v>46309</v>
      </c>
      <c r="I32" s="6" t="s">
        <v>153</v>
      </c>
      <c r="J32" s="6"/>
      <c r="K32" s="6" t="s">
        <v>65</v>
      </c>
    </row>
    <row r="33" spans="1:11" ht="15" customHeight="1" x14ac:dyDescent="0.3">
      <c r="A33" s="4" t="s">
        <v>154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15" customHeight="1" x14ac:dyDescent="0.3">
      <c r="A34" s="6" t="s">
        <v>154</v>
      </c>
      <c r="B34" s="6" t="s">
        <v>155</v>
      </c>
      <c r="C34" s="6" t="s">
        <v>156</v>
      </c>
      <c r="D34" s="6" t="s">
        <v>62</v>
      </c>
      <c r="E34" s="6">
        <v>1</v>
      </c>
      <c r="F34" s="7">
        <v>46300</v>
      </c>
      <c r="G34" s="6">
        <v>11</v>
      </c>
      <c r="H34" s="7">
        <v>46315</v>
      </c>
      <c r="I34" s="6" t="s">
        <v>157</v>
      </c>
      <c r="J34" s="6"/>
      <c r="K34" s="6" t="s">
        <v>65</v>
      </c>
    </row>
    <row r="35" spans="1:11" ht="15" customHeight="1" x14ac:dyDescent="0.3">
      <c r="A35" s="6" t="s">
        <v>154</v>
      </c>
      <c r="B35" s="6" t="s">
        <v>158</v>
      </c>
      <c r="C35" s="6" t="s">
        <v>159</v>
      </c>
      <c r="D35" s="6" t="s">
        <v>62</v>
      </c>
      <c r="E35" s="6">
        <v>3</v>
      </c>
      <c r="F35" s="7">
        <v>46302</v>
      </c>
      <c r="G35" s="6">
        <v>11</v>
      </c>
      <c r="H35" s="7">
        <v>46315</v>
      </c>
      <c r="I35" s="6" t="s">
        <v>137</v>
      </c>
      <c r="J35" s="6"/>
      <c r="K35" s="6" t="s">
        <v>65</v>
      </c>
    </row>
    <row r="36" spans="1:11" ht="15" customHeight="1" x14ac:dyDescent="0.3">
      <c r="A36" s="4" t="s">
        <v>160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23.25" customHeight="1" x14ac:dyDescent="0.3">
      <c r="A37" s="6" t="s">
        <v>160</v>
      </c>
      <c r="B37" s="6" t="s">
        <v>161</v>
      </c>
      <c r="C37" s="6" t="s">
        <v>162</v>
      </c>
      <c r="D37" s="6" t="s">
        <v>163</v>
      </c>
      <c r="E37" s="6">
        <v>3</v>
      </c>
      <c r="F37" s="7">
        <v>46302</v>
      </c>
      <c r="G37" s="6">
        <v>10</v>
      </c>
      <c r="H37" s="7">
        <v>46311</v>
      </c>
      <c r="I37" s="6" t="s">
        <v>164</v>
      </c>
      <c r="J37" s="6"/>
      <c r="K37" s="6" t="s">
        <v>65</v>
      </c>
    </row>
    <row r="38" spans="1:11" ht="15" customHeight="1" x14ac:dyDescent="0.3">
      <c r="A38" s="6" t="s">
        <v>160</v>
      </c>
      <c r="B38" s="6" t="s">
        <v>165</v>
      </c>
      <c r="C38" s="6" t="s">
        <v>166</v>
      </c>
      <c r="D38" s="6" t="s">
        <v>62</v>
      </c>
      <c r="E38" s="6">
        <v>9</v>
      </c>
      <c r="F38" s="7">
        <v>46310</v>
      </c>
      <c r="G38" s="6">
        <v>10</v>
      </c>
      <c r="H38" s="7">
        <v>46311</v>
      </c>
      <c r="I38" s="6" t="s">
        <v>167</v>
      </c>
      <c r="J38" s="8" t="s">
        <v>168</v>
      </c>
      <c r="K38" s="6" t="s">
        <v>65</v>
      </c>
    </row>
    <row r="39" spans="1:11" ht="15" customHeight="1" x14ac:dyDescent="0.3">
      <c r="A39" s="6" t="s">
        <v>160</v>
      </c>
      <c r="B39" s="6" t="s">
        <v>169</v>
      </c>
      <c r="C39" s="8" t="s">
        <v>170</v>
      </c>
      <c r="D39" s="6" t="s">
        <v>171</v>
      </c>
      <c r="E39" s="6">
        <v>11</v>
      </c>
      <c r="F39" s="7">
        <v>46315</v>
      </c>
      <c r="G39" s="6">
        <v>11</v>
      </c>
      <c r="H39" s="7">
        <v>46315</v>
      </c>
      <c r="I39" s="6" t="s">
        <v>172</v>
      </c>
      <c r="J39" s="8" t="s">
        <v>173</v>
      </c>
      <c r="K39" s="6" t="s">
        <v>65</v>
      </c>
    </row>
    <row r="40" spans="1:11" ht="15" customHeight="1" x14ac:dyDescent="0.3">
      <c r="A40" s="6" t="s">
        <v>160</v>
      </c>
      <c r="B40" s="6" t="s">
        <v>174</v>
      </c>
      <c r="C40" s="6" t="s">
        <v>175</v>
      </c>
      <c r="D40" s="6" t="s">
        <v>69</v>
      </c>
      <c r="E40" s="6">
        <v>12</v>
      </c>
      <c r="F40" s="7">
        <v>46316</v>
      </c>
      <c r="G40" s="6">
        <v>14</v>
      </c>
      <c r="H40" s="7">
        <v>46318</v>
      </c>
      <c r="I40" s="6" t="s">
        <v>176</v>
      </c>
      <c r="J40" s="6"/>
      <c r="K40" s="6" t="s">
        <v>65</v>
      </c>
    </row>
    <row r="41" spans="1:11" ht="15" customHeight="1" x14ac:dyDescent="0.3">
      <c r="A41" s="4" t="s">
        <v>177</v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15" customHeight="1" x14ac:dyDescent="0.3">
      <c r="A42" s="6" t="s">
        <v>177</v>
      </c>
      <c r="B42" s="6" t="s">
        <v>178</v>
      </c>
      <c r="C42" s="6" t="s">
        <v>179</v>
      </c>
      <c r="D42" s="6" t="s">
        <v>62</v>
      </c>
      <c r="E42" s="6">
        <v>1</v>
      </c>
      <c r="F42" s="7">
        <v>46300</v>
      </c>
      <c r="G42" s="6">
        <v>14</v>
      </c>
      <c r="H42" s="7">
        <v>46318</v>
      </c>
      <c r="I42" s="6" t="s">
        <v>180</v>
      </c>
      <c r="J42" s="6"/>
      <c r="K42" s="6" t="s">
        <v>65</v>
      </c>
    </row>
    <row r="43" spans="1:11" ht="23.25" customHeight="1" x14ac:dyDescent="0.3">
      <c r="A43" s="6" t="s">
        <v>177</v>
      </c>
      <c r="B43" s="6" t="s">
        <v>181</v>
      </c>
      <c r="C43" s="6" t="s">
        <v>182</v>
      </c>
      <c r="D43" s="6" t="s">
        <v>69</v>
      </c>
      <c r="E43" s="6">
        <v>4</v>
      </c>
      <c r="F43" s="7">
        <v>46303</v>
      </c>
      <c r="G43" s="6">
        <v>4</v>
      </c>
      <c r="H43" s="7">
        <v>46303</v>
      </c>
      <c r="I43" s="6" t="s">
        <v>183</v>
      </c>
      <c r="J43" s="8" t="s">
        <v>184</v>
      </c>
      <c r="K43" s="6" t="s">
        <v>65</v>
      </c>
    </row>
    <row r="44" spans="1:11" ht="15" customHeight="1" x14ac:dyDescent="0.3">
      <c r="A44" s="6" t="s">
        <v>177</v>
      </c>
      <c r="B44" s="6" t="s">
        <v>185</v>
      </c>
      <c r="C44" s="6" t="s">
        <v>186</v>
      </c>
      <c r="D44" s="6" t="s">
        <v>69</v>
      </c>
      <c r="E44" s="6">
        <v>5</v>
      </c>
      <c r="F44" s="7">
        <v>46304</v>
      </c>
      <c r="G44" s="6">
        <v>10</v>
      </c>
      <c r="H44" s="7">
        <v>46311</v>
      </c>
      <c r="I44" s="6" t="s">
        <v>187</v>
      </c>
      <c r="J44" s="6"/>
      <c r="K44" s="6" t="s">
        <v>65</v>
      </c>
    </row>
    <row r="46" spans="1:11" ht="15" customHeight="1" x14ac:dyDescent="0.3">
      <c r="A46" s="9" t="s">
        <v>188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" customHeight="1" x14ac:dyDescent="0.3">
      <c r="A47" s="11" t="s">
        <v>189</v>
      </c>
      <c r="B47" s="11" t="s">
        <v>190</v>
      </c>
      <c r="C47" s="11" t="s">
        <v>191</v>
      </c>
      <c r="D47" s="11" t="s">
        <v>62</v>
      </c>
      <c r="E47" s="11">
        <v>1</v>
      </c>
      <c r="F47" s="12">
        <v>46300</v>
      </c>
      <c r="G47" s="11">
        <v>2</v>
      </c>
      <c r="H47" s="12">
        <v>46301</v>
      </c>
      <c r="I47" s="11" t="s">
        <v>192</v>
      </c>
      <c r="J47" s="13" t="s">
        <v>193</v>
      </c>
      <c r="K47" s="11" t="s">
        <v>65</v>
      </c>
    </row>
    <row r="48" spans="1:11" ht="23.25" customHeight="1" x14ac:dyDescent="0.3">
      <c r="A48" s="11" t="s">
        <v>189</v>
      </c>
      <c r="B48" s="11" t="s">
        <v>194</v>
      </c>
      <c r="C48" s="11" t="s">
        <v>195</v>
      </c>
      <c r="D48" s="11" t="s">
        <v>62</v>
      </c>
      <c r="E48" s="11">
        <v>1</v>
      </c>
      <c r="F48" s="12">
        <v>46300</v>
      </c>
      <c r="G48" s="11">
        <v>3</v>
      </c>
      <c r="H48" s="12">
        <v>46302</v>
      </c>
      <c r="I48" s="11" t="s">
        <v>196</v>
      </c>
      <c r="J48" s="11"/>
      <c r="K48" s="11" t="s">
        <v>65</v>
      </c>
    </row>
    <row r="49" spans="1:11" ht="23.25" customHeight="1" x14ac:dyDescent="0.3">
      <c r="A49" s="11" t="s">
        <v>189</v>
      </c>
      <c r="B49" s="11" t="s">
        <v>197</v>
      </c>
      <c r="C49" s="11" t="s">
        <v>198</v>
      </c>
      <c r="D49" s="11" t="s">
        <v>199</v>
      </c>
      <c r="E49" s="11">
        <v>2</v>
      </c>
      <c r="F49" s="12">
        <v>46301</v>
      </c>
      <c r="G49" s="11">
        <v>2</v>
      </c>
      <c r="H49" s="12">
        <v>46301</v>
      </c>
      <c r="I49" s="11" t="s">
        <v>200</v>
      </c>
      <c r="J49" s="11"/>
      <c r="K49" s="11" t="s">
        <v>65</v>
      </c>
    </row>
    <row r="50" spans="1:11" ht="23.25" customHeight="1" x14ac:dyDescent="0.3">
      <c r="A50" s="11" t="s">
        <v>189</v>
      </c>
      <c r="B50" s="11" t="s">
        <v>201</v>
      </c>
      <c r="C50" s="11" t="s">
        <v>202</v>
      </c>
      <c r="D50" s="11" t="s">
        <v>62</v>
      </c>
      <c r="E50" s="11">
        <v>3</v>
      </c>
      <c r="F50" s="12">
        <v>46302</v>
      </c>
      <c r="G50" s="11">
        <v>11</v>
      </c>
      <c r="H50" s="12">
        <v>46315</v>
      </c>
      <c r="I50" s="11" t="s">
        <v>137</v>
      </c>
      <c r="J50" s="11"/>
      <c r="K50" s="11" t="s">
        <v>65</v>
      </c>
    </row>
    <row r="51" spans="1:11" ht="15" customHeight="1" x14ac:dyDescent="0.3">
      <c r="A51" s="11" t="s">
        <v>189</v>
      </c>
      <c r="B51" s="11" t="s">
        <v>203</v>
      </c>
      <c r="C51" s="11" t="s">
        <v>204</v>
      </c>
      <c r="D51" s="11" t="s">
        <v>205</v>
      </c>
      <c r="E51" s="11">
        <v>5</v>
      </c>
      <c r="F51" s="12">
        <v>46304</v>
      </c>
      <c r="G51" s="11">
        <v>11</v>
      </c>
      <c r="H51" s="12">
        <v>46315</v>
      </c>
      <c r="I51" s="11" t="s">
        <v>206</v>
      </c>
      <c r="J51" s="11"/>
      <c r="K51" s="11" t="s">
        <v>65</v>
      </c>
    </row>
    <row r="52" spans="1:11" ht="23.25" customHeight="1" x14ac:dyDescent="0.3">
      <c r="A52" s="11" t="s">
        <v>189</v>
      </c>
      <c r="B52" s="11" t="s">
        <v>207</v>
      </c>
      <c r="C52" s="11" t="s">
        <v>208</v>
      </c>
      <c r="D52" s="11" t="s">
        <v>209</v>
      </c>
      <c r="E52" s="11">
        <v>11</v>
      </c>
      <c r="F52" s="12">
        <v>46315</v>
      </c>
      <c r="G52" s="11">
        <v>11</v>
      </c>
      <c r="H52" s="12">
        <v>46315</v>
      </c>
      <c r="I52" s="11" t="s">
        <v>210</v>
      </c>
      <c r="J52" s="13" t="s">
        <v>211</v>
      </c>
      <c r="K52" s="11" t="s">
        <v>65</v>
      </c>
    </row>
    <row r="53" spans="1:11" ht="15" customHeight="1" x14ac:dyDescent="0.3">
      <c r="A53" s="11" t="s">
        <v>189</v>
      </c>
      <c r="B53" s="11" t="s">
        <v>212</v>
      </c>
      <c r="C53" s="11" t="s">
        <v>213</v>
      </c>
      <c r="D53" s="11" t="s">
        <v>199</v>
      </c>
      <c r="E53" s="11">
        <v>12</v>
      </c>
      <c r="F53" s="12">
        <v>46316</v>
      </c>
      <c r="G53" s="11">
        <v>14</v>
      </c>
      <c r="H53" s="12">
        <v>46318</v>
      </c>
      <c r="I53" s="11" t="s">
        <v>214</v>
      </c>
      <c r="J53" s="13" t="s">
        <v>215</v>
      </c>
      <c r="K53" s="11" t="s">
        <v>65</v>
      </c>
    </row>
    <row r="55" spans="1:11" ht="15" customHeight="1" x14ac:dyDescent="0.3">
      <c r="A55" s="4" t="s">
        <v>216</v>
      </c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ht="23.25" customHeight="1" x14ac:dyDescent="0.3">
      <c r="A56" s="14" t="s">
        <v>217</v>
      </c>
      <c r="B56" s="14" t="s">
        <v>218</v>
      </c>
      <c r="C56" s="14" t="s">
        <v>219</v>
      </c>
      <c r="D56" s="14" t="s">
        <v>90</v>
      </c>
      <c r="E56" s="14">
        <v>1</v>
      </c>
      <c r="F56" s="15">
        <v>46300</v>
      </c>
      <c r="G56" s="14">
        <v>2</v>
      </c>
      <c r="H56" s="15">
        <v>46301</v>
      </c>
      <c r="I56" s="14" t="s">
        <v>220</v>
      </c>
      <c r="J56" s="16" t="s">
        <v>221</v>
      </c>
      <c r="K56" s="14" t="s">
        <v>65</v>
      </c>
    </row>
    <row r="57" spans="1:11" ht="23.25" customHeight="1" x14ac:dyDescent="0.3">
      <c r="A57" s="11" t="s">
        <v>217</v>
      </c>
      <c r="B57" s="11" t="s">
        <v>222</v>
      </c>
      <c r="C57" s="11" t="s">
        <v>223</v>
      </c>
      <c r="D57" s="11" t="s">
        <v>62</v>
      </c>
      <c r="E57" s="11">
        <v>2</v>
      </c>
      <c r="F57" s="12">
        <v>46301</v>
      </c>
      <c r="G57" s="11">
        <v>3</v>
      </c>
      <c r="H57" s="12">
        <v>46302</v>
      </c>
      <c r="I57" s="11" t="s">
        <v>224</v>
      </c>
      <c r="J57" s="11" t="s">
        <v>38</v>
      </c>
      <c r="K57" s="11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zoomScaleNormal="100" workbookViewId="0">
      <pane ySplit="4" topLeftCell="A5" activePane="bottomLeft" state="frozen"/>
      <selection pane="bottomLeft" activeCell="D19" sqref="D19"/>
    </sheetView>
  </sheetViews>
  <sheetFormatPr defaultColWidth="8.6640625" defaultRowHeight="14.4" x14ac:dyDescent="0.3"/>
  <cols>
    <col min="1" max="1" width="12" customWidth="1"/>
    <col min="2" max="2" width="6" customWidth="1"/>
    <col min="3" max="3" width="11" customWidth="1"/>
    <col min="4" max="4" width="48" customWidth="1"/>
    <col min="5" max="5" width="30" customWidth="1"/>
    <col min="6" max="6" width="10" customWidth="1"/>
  </cols>
  <sheetData>
    <row r="1" spans="1:6" ht="18" customHeight="1" x14ac:dyDescent="0.35">
      <c r="A1" s="1" t="s">
        <v>225</v>
      </c>
    </row>
    <row r="2" spans="1:6" ht="15" customHeight="1" x14ac:dyDescent="0.3">
      <c r="A2" s="2" t="s">
        <v>226</v>
      </c>
    </row>
    <row r="4" spans="1:6" ht="15" customHeight="1" x14ac:dyDescent="0.3">
      <c r="A4" s="3" t="s">
        <v>57</v>
      </c>
      <c r="B4" s="3" t="s">
        <v>227</v>
      </c>
      <c r="C4" s="3" t="s">
        <v>228</v>
      </c>
      <c r="D4" s="3" t="s">
        <v>229</v>
      </c>
      <c r="E4" s="3" t="s">
        <v>230</v>
      </c>
      <c r="F4" s="3" t="s">
        <v>231</v>
      </c>
    </row>
    <row r="5" spans="1:6" ht="23.25" customHeight="1" x14ac:dyDescent="0.3">
      <c r="A5" s="8" t="s">
        <v>64</v>
      </c>
      <c r="B5" s="6">
        <v>0</v>
      </c>
      <c r="C5" s="7">
        <v>46296</v>
      </c>
      <c r="D5" s="6" t="s">
        <v>232</v>
      </c>
      <c r="E5" s="6" t="s">
        <v>233</v>
      </c>
      <c r="F5" s="6"/>
    </row>
    <row r="6" spans="1:6" ht="15" customHeight="1" x14ac:dyDescent="0.3">
      <c r="A6" s="8" t="s">
        <v>71</v>
      </c>
      <c r="B6" s="6">
        <v>1</v>
      </c>
      <c r="C6" s="7">
        <v>46300</v>
      </c>
      <c r="D6" s="6" t="s">
        <v>234</v>
      </c>
      <c r="E6" s="6" t="s">
        <v>235</v>
      </c>
      <c r="F6" s="6"/>
    </row>
    <row r="7" spans="1:6" ht="15" customHeight="1" x14ac:dyDescent="0.3">
      <c r="A7" s="8" t="s">
        <v>76</v>
      </c>
      <c r="B7" s="6">
        <v>2</v>
      </c>
      <c r="C7" s="7">
        <v>46301</v>
      </c>
      <c r="D7" s="6" t="s">
        <v>236</v>
      </c>
      <c r="E7" s="6" t="s">
        <v>224</v>
      </c>
      <c r="F7" s="6"/>
    </row>
    <row r="8" spans="1:6" ht="15" customHeight="1" x14ac:dyDescent="0.3">
      <c r="A8" s="8" t="s">
        <v>109</v>
      </c>
      <c r="B8" s="6">
        <v>4</v>
      </c>
      <c r="C8" s="7">
        <v>46303</v>
      </c>
      <c r="D8" s="6" t="s">
        <v>237</v>
      </c>
      <c r="E8" s="6" t="s">
        <v>238</v>
      </c>
      <c r="F8" s="6"/>
    </row>
    <row r="9" spans="1:6" ht="23.25" customHeight="1" x14ac:dyDescent="0.3">
      <c r="A9" s="8" t="s">
        <v>184</v>
      </c>
      <c r="B9" s="6">
        <v>4</v>
      </c>
      <c r="C9" s="7">
        <v>46303</v>
      </c>
      <c r="D9" s="6" t="s">
        <v>239</v>
      </c>
      <c r="E9" s="6" t="s">
        <v>183</v>
      </c>
      <c r="F9" s="6"/>
    </row>
    <row r="10" spans="1:6" ht="15" customHeight="1" x14ac:dyDescent="0.3">
      <c r="A10" s="8" t="s">
        <v>84</v>
      </c>
      <c r="B10" s="6">
        <v>5</v>
      </c>
      <c r="C10" s="7">
        <v>46304</v>
      </c>
      <c r="D10" s="6" t="s">
        <v>240</v>
      </c>
      <c r="E10" s="6" t="s">
        <v>241</v>
      </c>
      <c r="F10" s="6"/>
    </row>
    <row r="11" spans="1:6" ht="15" customHeight="1" x14ac:dyDescent="0.3">
      <c r="A11" s="8" t="s">
        <v>100</v>
      </c>
      <c r="B11" s="6">
        <v>6</v>
      </c>
      <c r="C11" s="7">
        <v>46307</v>
      </c>
      <c r="D11" s="6" t="s">
        <v>242</v>
      </c>
      <c r="E11" s="6" t="s">
        <v>243</v>
      </c>
      <c r="F11" s="6"/>
    </row>
    <row r="12" spans="1:6" ht="15" customHeight="1" x14ac:dyDescent="0.3">
      <c r="A12" s="8" t="s">
        <v>146</v>
      </c>
      <c r="B12" s="6">
        <v>9</v>
      </c>
      <c r="C12" s="7">
        <v>46310</v>
      </c>
      <c r="D12" s="6" t="s">
        <v>244</v>
      </c>
      <c r="E12" s="6" t="s">
        <v>245</v>
      </c>
      <c r="F12" s="6"/>
    </row>
    <row r="13" spans="1:6" ht="15" customHeight="1" x14ac:dyDescent="0.3">
      <c r="A13" s="8" t="s">
        <v>168</v>
      </c>
      <c r="B13" s="6">
        <v>10</v>
      </c>
      <c r="C13" s="7">
        <v>46311</v>
      </c>
      <c r="D13" s="6" t="s">
        <v>246</v>
      </c>
      <c r="E13" s="6" t="s">
        <v>247</v>
      </c>
      <c r="F13" s="6"/>
    </row>
    <row r="14" spans="1:6" ht="23.25" customHeight="1" x14ac:dyDescent="0.3">
      <c r="A14" s="8" t="s">
        <v>173</v>
      </c>
      <c r="B14" s="6">
        <v>11</v>
      </c>
      <c r="C14" s="7">
        <v>46315</v>
      </c>
      <c r="D14" s="6" t="s">
        <v>248</v>
      </c>
      <c r="E14" s="6" t="s">
        <v>249</v>
      </c>
      <c r="F14" s="6"/>
    </row>
    <row r="15" spans="1:6" ht="15" customHeight="1" x14ac:dyDescent="0.3">
      <c r="A15" s="13" t="s">
        <v>193</v>
      </c>
      <c r="B15" s="11">
        <v>2</v>
      </c>
      <c r="C15" s="12">
        <v>46301</v>
      </c>
      <c r="D15" s="11" t="s">
        <v>250</v>
      </c>
      <c r="E15" s="11" t="s">
        <v>251</v>
      </c>
      <c r="F15" s="11"/>
    </row>
    <row r="16" spans="1:6" ht="15" customHeight="1" x14ac:dyDescent="0.3">
      <c r="A16" s="13" t="s">
        <v>211</v>
      </c>
      <c r="B16" s="11">
        <v>11</v>
      </c>
      <c r="C16" s="12">
        <v>46315</v>
      </c>
      <c r="D16" s="11" t="s">
        <v>252</v>
      </c>
      <c r="E16" s="11" t="s">
        <v>253</v>
      </c>
      <c r="F16" s="11"/>
    </row>
    <row r="17" spans="1:6" ht="15" customHeight="1" x14ac:dyDescent="0.3">
      <c r="A17" s="13" t="s">
        <v>215</v>
      </c>
      <c r="B17" s="11">
        <v>14</v>
      </c>
      <c r="C17" s="12">
        <v>46318</v>
      </c>
      <c r="D17" s="11" t="s">
        <v>254</v>
      </c>
      <c r="E17" s="11" t="s">
        <v>255</v>
      </c>
      <c r="F17" s="11"/>
    </row>
    <row r="18" spans="1:6" ht="23.25" customHeight="1" x14ac:dyDescent="0.3">
      <c r="A18" s="17" t="s">
        <v>221</v>
      </c>
      <c r="B18" s="18">
        <v>2</v>
      </c>
      <c r="C18" s="19">
        <v>46301</v>
      </c>
      <c r="D18" s="18" t="s">
        <v>256</v>
      </c>
      <c r="E18" s="18" t="s">
        <v>257</v>
      </c>
      <c r="F18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showGridLines="0" zoomScaleNormal="100" workbookViewId="0">
      <pane ySplit="4" topLeftCell="A5" activePane="bottomLeft" state="frozen"/>
      <selection pane="bottomLeft" activeCell="D24" sqref="D24"/>
    </sheetView>
  </sheetViews>
  <sheetFormatPr defaultColWidth="8.6640625" defaultRowHeight="14.4" x14ac:dyDescent="0.3"/>
  <cols>
    <col min="1" max="1" width="6" customWidth="1"/>
    <col min="2" max="2" width="11" customWidth="1"/>
    <col min="3" max="3" width="12" customWidth="1"/>
    <col min="4" max="4" width="14" customWidth="1"/>
    <col min="5" max="5" width="9" customWidth="1"/>
    <col min="6" max="6" width="12" customWidth="1"/>
    <col min="7" max="7" width="9" customWidth="1"/>
    <col min="8" max="8" width="12" customWidth="1"/>
    <col min="9" max="10" width="14" customWidth="1"/>
  </cols>
  <sheetData>
    <row r="1" spans="1:10" ht="18" customHeight="1" x14ac:dyDescent="0.35">
      <c r="A1" s="1" t="s">
        <v>258</v>
      </c>
    </row>
    <row r="2" spans="1:10" ht="15" customHeight="1" x14ac:dyDescent="0.3">
      <c r="A2" s="2" t="s">
        <v>259</v>
      </c>
    </row>
    <row r="4" spans="1:10" ht="23.25" customHeight="1" x14ac:dyDescent="0.3">
      <c r="A4" s="3" t="s">
        <v>227</v>
      </c>
      <c r="B4" s="3" t="s">
        <v>228</v>
      </c>
      <c r="C4" s="3" t="s">
        <v>260</v>
      </c>
      <c r="D4" s="3" t="s">
        <v>261</v>
      </c>
      <c r="E4" s="3" t="s">
        <v>262</v>
      </c>
      <c r="F4" s="3" t="s">
        <v>263</v>
      </c>
      <c r="G4" s="3" t="s">
        <v>264</v>
      </c>
      <c r="H4" s="3" t="s">
        <v>265</v>
      </c>
      <c r="I4" s="20" t="s">
        <v>266</v>
      </c>
      <c r="J4" s="20" t="s">
        <v>267</v>
      </c>
    </row>
    <row r="5" spans="1:10" ht="15" customHeight="1" x14ac:dyDescent="0.3">
      <c r="A5" s="6">
        <v>0</v>
      </c>
      <c r="B5" s="7">
        <v>46296</v>
      </c>
      <c r="C5" s="6"/>
      <c r="D5" s="6"/>
      <c r="E5" s="6"/>
      <c r="F5" s="6"/>
      <c r="G5" s="6"/>
      <c r="H5" s="6"/>
      <c r="I5" s="21"/>
      <c r="J5" s="21"/>
    </row>
    <row r="6" spans="1:10" ht="15" customHeight="1" x14ac:dyDescent="0.3">
      <c r="A6" s="6">
        <v>1</v>
      </c>
      <c r="B6" s="7">
        <v>46300</v>
      </c>
      <c r="C6" s="6"/>
      <c r="D6" s="6"/>
      <c r="E6" s="6"/>
      <c r="F6" s="6"/>
      <c r="G6" s="6"/>
      <c r="H6" s="6"/>
      <c r="I6" s="21"/>
      <c r="J6" s="21"/>
    </row>
    <row r="7" spans="1:10" ht="15" customHeight="1" x14ac:dyDescent="0.3">
      <c r="A7" s="6">
        <v>2</v>
      </c>
      <c r="B7" s="7">
        <v>46301</v>
      </c>
      <c r="C7" s="6"/>
      <c r="D7" s="6"/>
      <c r="E7" s="6"/>
      <c r="F7" s="6"/>
      <c r="G7" s="6"/>
      <c r="H7" s="6"/>
      <c r="I7" s="21"/>
      <c r="J7" s="21"/>
    </row>
    <row r="8" spans="1:10" ht="15" customHeight="1" x14ac:dyDescent="0.3">
      <c r="A8" s="6">
        <v>3</v>
      </c>
      <c r="B8" s="7">
        <v>46302</v>
      </c>
      <c r="C8" s="6"/>
      <c r="D8" s="6"/>
      <c r="E8" s="6"/>
      <c r="F8" s="6"/>
      <c r="G8" s="6"/>
      <c r="H8" s="6"/>
      <c r="I8" s="21"/>
      <c r="J8" s="21"/>
    </row>
    <row r="9" spans="1:10" ht="15" customHeight="1" x14ac:dyDescent="0.3">
      <c r="A9" s="6">
        <v>4</v>
      </c>
      <c r="B9" s="7">
        <v>46303</v>
      </c>
      <c r="C9" s="6"/>
      <c r="D9" s="6"/>
      <c r="E9" s="6"/>
      <c r="F9" s="6"/>
      <c r="G9" s="6"/>
      <c r="H9" s="6"/>
      <c r="I9" s="21"/>
      <c r="J9" s="21"/>
    </row>
    <row r="10" spans="1:10" ht="15" customHeight="1" x14ac:dyDescent="0.3">
      <c r="A10" s="6">
        <v>5</v>
      </c>
      <c r="B10" s="7">
        <v>46304</v>
      </c>
      <c r="C10" s="6"/>
      <c r="D10" s="6"/>
      <c r="E10" s="6"/>
      <c r="F10" s="6"/>
      <c r="G10" s="6"/>
      <c r="H10" s="6"/>
      <c r="I10" s="21"/>
      <c r="J10" s="21"/>
    </row>
    <row r="11" spans="1:10" ht="15" customHeight="1" x14ac:dyDescent="0.3">
      <c r="A11" s="6">
        <v>6</v>
      </c>
      <c r="B11" s="7">
        <v>46307</v>
      </c>
      <c r="C11" s="6"/>
      <c r="D11" s="6"/>
      <c r="E11" s="6"/>
      <c r="F11" s="6"/>
      <c r="G11" s="6"/>
      <c r="H11" s="6"/>
      <c r="I11" s="21"/>
      <c r="J11" s="21"/>
    </row>
    <row r="12" spans="1:10" ht="15" customHeight="1" x14ac:dyDescent="0.3">
      <c r="A12" s="6">
        <v>7</v>
      </c>
      <c r="B12" s="7">
        <v>46308</v>
      </c>
      <c r="C12" s="6"/>
      <c r="D12" s="6"/>
      <c r="E12" s="6"/>
      <c r="F12" s="6"/>
      <c r="G12" s="6"/>
      <c r="H12" s="6"/>
      <c r="I12" s="21"/>
      <c r="J12" s="21"/>
    </row>
    <row r="13" spans="1:10" ht="15" customHeight="1" x14ac:dyDescent="0.3">
      <c r="A13" s="6">
        <v>8</v>
      </c>
      <c r="B13" s="7">
        <v>46309</v>
      </c>
      <c r="C13" s="6"/>
      <c r="D13" s="6"/>
      <c r="E13" s="6"/>
      <c r="F13" s="6"/>
      <c r="G13" s="6"/>
      <c r="H13" s="6"/>
      <c r="I13" s="21"/>
      <c r="J13" s="21"/>
    </row>
    <row r="14" spans="1:10" ht="15" customHeight="1" x14ac:dyDescent="0.3">
      <c r="A14" s="6">
        <v>9</v>
      </c>
      <c r="B14" s="7">
        <v>46310</v>
      </c>
      <c r="C14" s="6"/>
      <c r="D14" s="6"/>
      <c r="E14" s="6"/>
      <c r="F14" s="6"/>
      <c r="G14" s="6"/>
      <c r="H14" s="6"/>
      <c r="I14" s="21"/>
      <c r="J14" s="21"/>
    </row>
    <row r="15" spans="1:10" ht="15" customHeight="1" x14ac:dyDescent="0.3">
      <c r="A15" s="6">
        <v>10</v>
      </c>
      <c r="B15" s="7">
        <v>46311</v>
      </c>
      <c r="C15" s="6"/>
      <c r="D15" s="6"/>
      <c r="E15" s="6"/>
      <c r="F15" s="6"/>
      <c r="G15" s="6"/>
      <c r="H15" s="6"/>
      <c r="I15" s="21"/>
      <c r="J15" s="21"/>
    </row>
    <row r="16" spans="1:10" ht="15" customHeight="1" x14ac:dyDescent="0.3">
      <c r="A16" s="6">
        <v>11</v>
      </c>
      <c r="B16" s="7">
        <v>46315</v>
      </c>
      <c r="C16" s="6"/>
      <c r="D16" s="6"/>
      <c r="E16" s="6"/>
      <c r="F16" s="6"/>
      <c r="G16" s="6"/>
      <c r="H16" s="6"/>
      <c r="I16" s="21"/>
      <c r="J16" s="21"/>
    </row>
    <row r="17" spans="1:10" ht="15" customHeight="1" x14ac:dyDescent="0.3">
      <c r="A17" s="6">
        <v>12</v>
      </c>
      <c r="B17" s="7">
        <v>46316</v>
      </c>
      <c r="C17" s="6"/>
      <c r="D17" s="6"/>
      <c r="E17" s="6"/>
      <c r="F17" s="6"/>
      <c r="G17" s="6"/>
      <c r="H17" s="6"/>
      <c r="I17" s="21"/>
      <c r="J17" s="21"/>
    </row>
    <row r="18" spans="1:10" ht="15" customHeight="1" x14ac:dyDescent="0.3">
      <c r="A18" s="6">
        <v>13</v>
      </c>
      <c r="B18" s="7">
        <v>46317</v>
      </c>
      <c r="C18" s="6"/>
      <c r="D18" s="6"/>
      <c r="E18" s="6"/>
      <c r="F18" s="6"/>
      <c r="G18" s="6"/>
      <c r="H18" s="6"/>
      <c r="I18" s="21"/>
      <c r="J18" s="21"/>
    </row>
    <row r="19" spans="1:10" ht="15" customHeight="1" x14ac:dyDescent="0.3">
      <c r="A19" s="6">
        <v>14</v>
      </c>
      <c r="B19" s="7">
        <v>46318</v>
      </c>
      <c r="C19" s="6"/>
      <c r="D19" s="6"/>
      <c r="E19" s="6"/>
      <c r="F19" s="6"/>
      <c r="G19" s="6"/>
      <c r="H19" s="6"/>
      <c r="I19" s="21"/>
      <c r="J19" s="21"/>
    </row>
    <row r="20" spans="1:10" ht="15" customHeight="1" x14ac:dyDescent="0.3">
      <c r="A20" s="22" t="s">
        <v>268</v>
      </c>
      <c r="C20" s="22">
        <f t="shared" ref="C20:J20" si="0">SUM(C5:C19)</f>
        <v>0</v>
      </c>
      <c r="D20" s="22">
        <f t="shared" si="0"/>
        <v>0</v>
      </c>
      <c r="E20" s="22">
        <f t="shared" si="0"/>
        <v>0</v>
      </c>
      <c r="F20" s="22">
        <f t="shared" si="0"/>
        <v>0</v>
      </c>
      <c r="G20" s="22">
        <f t="shared" si="0"/>
        <v>0</v>
      </c>
      <c r="H20" s="22">
        <f t="shared" si="0"/>
        <v>0</v>
      </c>
      <c r="I20" s="23">
        <f t="shared" si="0"/>
        <v>0</v>
      </c>
      <c r="J20" s="23">
        <f t="shared" si="0"/>
        <v>0</v>
      </c>
    </row>
    <row r="21" spans="1:10" ht="15" customHeight="1" x14ac:dyDescent="0.3">
      <c r="A21" s="22" t="s">
        <v>269</v>
      </c>
      <c r="C21">
        <v>135</v>
      </c>
      <c r="D21">
        <v>65</v>
      </c>
      <c r="E21">
        <v>105</v>
      </c>
      <c r="F21">
        <v>45</v>
      </c>
      <c r="G21">
        <v>20</v>
      </c>
      <c r="H21">
        <v>10</v>
      </c>
      <c r="I21" s="24">
        <v>40</v>
      </c>
      <c r="J21" s="24">
        <v>5</v>
      </c>
    </row>
    <row r="22" spans="1:10" ht="15" customHeight="1" x14ac:dyDescent="0.3">
      <c r="A22" s="22" t="s">
        <v>270</v>
      </c>
      <c r="C22" s="25">
        <f t="shared" ref="C22:J22" si="1">C21-C20</f>
        <v>135</v>
      </c>
      <c r="D22" s="25">
        <f t="shared" si="1"/>
        <v>65</v>
      </c>
      <c r="E22" s="25">
        <f t="shared" si="1"/>
        <v>105</v>
      </c>
      <c r="F22" s="25">
        <f t="shared" si="1"/>
        <v>45</v>
      </c>
      <c r="G22" s="25">
        <f t="shared" si="1"/>
        <v>20</v>
      </c>
      <c r="H22" s="25">
        <f t="shared" si="1"/>
        <v>10</v>
      </c>
      <c r="I22" s="25">
        <f t="shared" si="1"/>
        <v>40</v>
      </c>
      <c r="J22" s="25">
        <f t="shared" si="1"/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Master Plan</vt:lpstr>
      <vt:lpstr>Milestones</vt:lpstr>
      <vt:lpstr>Daily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Radhakrishnan</cp:lastModifiedBy>
  <cp:revision>0</cp:revision>
  <dcterms:created xsi:type="dcterms:W3CDTF">2026-09-29T12:29:48Z</dcterms:created>
  <dcterms:modified xsi:type="dcterms:W3CDTF">2026-10-01T04:16:21Z</dcterms:modified>
  <dc:language>en-US</dc:language>
</cp:coreProperties>
</file>
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Plan" sheetId="1" state="visible" r:id="rId3"/>
    <sheet name="Milestones" sheetId="2" state="visible" r:id="rId4"/>
    <sheet name="Daily Scorec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<sst xmlns="http://schemas.openxmlformats.org/spreadsheetml/2006/main" count="344" uniqueCount="226">
  <si>
    <t xml:space="preserve">HLC Sales Execution Calendar — 1 to 23 October 2026</t>
  </si>
  <si>
    <t xml:space="preserve">Day 0 = Thu 1 Oct (Niharika joins). Weekends and holidays (2 Oct, 19 Oct) are non-working. 12 working days to Vijayadasami. Targets: 20 KG + 10 Grade 1 seats from 200 leads.</t>
  </si>
  <si>
    <t xml:space="preserve">Workstream</t>
  </si>
  <si>
    <t xml:space="preserve">ID</t>
  </si>
  <si>
    <t xml:space="preserve">Activity</t>
  </si>
  <si>
    <t xml:space="preserve">Owner</t>
  </si>
  <si>
    <t xml:space="preserve">Start day</t>
  </si>
  <si>
    <t xml:space="preserve">Start date</t>
  </si>
  <si>
    <t xml:space="preserve">Due day</t>
  </si>
  <si>
    <t xml:space="preserve">Due date</t>
  </si>
  <si>
    <t xml:space="preserve">Output</t>
  </si>
  <si>
    <t xml:space="preserve">Milestone</t>
  </si>
  <si>
    <t xml:space="preserve">Status</t>
  </si>
  <si>
    <t xml:space="preserve">0 Orientation</t>
  </si>
  <si>
    <t xml:space="preserve">O1</t>
  </si>
  <si>
    <t xml:space="preserve">Self-enablement plan — see HLC_Growth_Leader_Orientation.xlsx</t>
  </si>
  <si>
    <t xml:space="preserve">Niharika</t>
  </si>
  <si>
    <t xml:space="preserve">Orientation pack</t>
  </si>
  <si>
    <t xml:space="preserve">★ M0</t>
  </si>
  <si>
    <t xml:space="preserve">Not started</t>
  </si>
  <si>
    <t xml:space="preserve">1 Foundation</t>
  </si>
  <si>
    <t xml:space="preserve">F1</t>
  </si>
  <si>
    <t xml:space="preserve">Thank-you note to every family, with alumni proof points</t>
  </si>
  <si>
    <t xml:space="preserve">Founders + Niharika</t>
  </si>
  <si>
    <t xml:space="preserve">Sent to all families</t>
  </si>
  <si>
    <t xml:space="preserve">★ M1</t>
  </si>
  <si>
    <t xml:space="preserve">F2</t>
  </si>
  <si>
    <t xml:space="preserve">Website live: seat counts, one-field enquiry form, Vidyarambham invite</t>
  </si>
  <si>
    <t xml:space="preserve">Niharika + web vendor</t>
  </si>
  <si>
    <t xml:space="preserve">Live page</t>
  </si>
  <si>
    <t xml:space="preserve">★ M2</t>
  </si>
  <si>
    <t xml:space="preserve">F3</t>
  </si>
  <si>
    <t xml:space="preserve">Enquiry tracker and daily scorecard set up (Google Sheet)</t>
  </si>
  <si>
    <t xml:space="preserve">Tracker live</t>
  </si>
  <si>
    <t xml:space="preserve">F4</t>
  </si>
  <si>
    <t xml:space="preserve">HLC Discover quick wins: signage, KG toilet tour-ready, Circle of Three tops and badges, photo wall</t>
  </si>
  <si>
    <t xml:space="preserve">KG coordinator</t>
  </si>
  <si>
    <t xml:space="preserve">Campus tour-ready</t>
  </si>
  <si>
    <t xml:space="preserve">★ M4</t>
  </si>
  <si>
    <t xml:space="preserve">F5</t>
  </si>
  <si>
    <t xml:space="preserve">Google Business listing: HLC Discover — the early years of HLC International</t>
  </si>
  <si>
    <t xml:space="preserve">Listing live</t>
  </si>
  <si>
    <t xml:space="preserve">F6</t>
  </si>
  <si>
    <t xml:space="preserve">Hire three field staff for one month: two outreach, one logistics</t>
  </si>
  <si>
    <t xml:space="preserve">Founders</t>
  </si>
  <si>
    <t xml:space="preserve">Staff in place</t>
  </si>
  <si>
    <t xml:space="preserve">2 Warm list</t>
  </si>
  <si>
    <t xml:space="preserve">W1</t>
  </si>
  <si>
    <t xml:space="preserve">Build the returning-families list (≈85), checked against admissions records</t>
  </si>
  <si>
    <t xml:space="preserve">Niharika + admissions</t>
  </si>
  <si>
    <t xml:space="preserve">Clean call list</t>
  </si>
  <si>
    <t xml:space="preserve">W2</t>
  </si>
  <si>
    <t xml:space="preserve">Call returning families with the early-bird offer — 15 a day</t>
  </si>
  <si>
    <t xml:space="preserve">All ≈85 contacted</t>
  </si>
  <si>
    <t xml:space="preserve">★ M5</t>
  </si>
  <si>
    <t xml:space="preserve">W3</t>
  </si>
  <si>
    <t xml:space="preserve">Founders call current families with a younger child, and alumni families</t>
  </si>
  <si>
    <t xml:space="preserve">All called</t>
  </si>
  <si>
    <t xml:space="preserve">3 Community</t>
  </si>
  <si>
    <t xml:space="preserve">C1</t>
  </si>
  <si>
    <t xml:space="preserve">Recruit one parent ambassador in each of the six hotspot communities</t>
  </si>
  <si>
    <t xml:space="preserve">Niharika + founders</t>
  </si>
  <si>
    <t xml:space="preserve">6 ambassadors</t>
  </si>
  <si>
    <t xml:space="preserve">★ M3</t>
  </si>
  <si>
    <t xml:space="preserve">C2</t>
  </si>
  <si>
    <t xml:space="preserve">Golu invitations: 20–30 crafted with gift; e-invite design for all</t>
  </si>
  <si>
    <t xml:space="preserve">Logistics staff</t>
  </si>
  <si>
    <t xml:space="preserve">Invites ready</t>
  </si>
  <si>
    <t xml:space="preserve">C4</t>
  </si>
  <si>
    <t xml:space="preserve">A3 posters in communities, with association permission</t>
  </si>
  <si>
    <t xml:space="preserve">Outreach staff</t>
  </si>
  <si>
    <t xml:space="preserve">Posters up</t>
  </si>
  <si>
    <t xml:space="preserve">C3</t>
  </si>
  <si>
    <t xml:space="preserve">Distribute invitations; e-invites shared by every family</t>
  </si>
  <si>
    <t xml:space="preserve">Ambassadors + staff</t>
  </si>
  <si>
    <t xml:space="preserve">Invites out</t>
  </si>
  <si>
    <t xml:space="preserve">C5</t>
  </si>
  <si>
    <t xml:space="preserve">Navaratri play corner in hotspot communities (weekday dates; weekend only with founder approval)</t>
  </si>
  <si>
    <t xml:space="preserve">Niharika + ambassadors</t>
  </si>
  <si>
    <t xml:space="preserve">2–3 corners run</t>
  </si>
  <si>
    <t xml:space="preserve">C6</t>
  </si>
  <si>
    <t xml:space="preserve">HLC golu on campus for the neighbourhood</t>
  </si>
  <si>
    <t xml:space="preserve">KG team</t>
  </si>
  <si>
    <t xml:space="preserve">Golu held</t>
  </si>
  <si>
    <t xml:space="preserve">4 Grade 1</t>
  </si>
  <si>
    <t xml:space="preserve">G1</t>
  </si>
  <si>
    <t xml:space="preserve">"Ready for Real School" one-page checklist for UKG parents</t>
  </si>
  <si>
    <t xml:space="preserve">Niharika + Grade 1 teacher</t>
  </si>
  <si>
    <t xml:space="preserve">PDF ready</t>
  </si>
  <si>
    <t xml:space="preserve">G4</t>
  </si>
  <si>
    <t xml:space="preserve">Search ads: "Grade 1 admission near me", 5 km</t>
  </si>
  <si>
    <t xml:space="preserve">Ads live</t>
  </si>
  <si>
    <t xml:space="preserve">G2</t>
  </si>
  <si>
    <t xml:space="preserve">Share the checklist through community WhatsApp groups and ambassadors</t>
  </si>
  <si>
    <t xml:space="preserve">Ambassadors</t>
  </si>
  <si>
    <t xml:space="preserve">Shared widely</t>
  </si>
  <si>
    <t xml:space="preserve">G3</t>
  </si>
  <si>
    <t xml:space="preserve">"Ready for Real School" weekday session, 3:30–5 pm, open to any UKG child</t>
  </si>
  <si>
    <t xml:space="preserve">Grade 1 team</t>
  </si>
  <si>
    <t xml:space="preserve">Two sessions held</t>
  </si>
  <si>
    <t xml:space="preserve">★ M6</t>
  </si>
  <si>
    <t xml:space="preserve">5 Feeders</t>
  </si>
  <si>
    <t xml:space="preserve">P1</t>
  </si>
  <si>
    <t xml:space="preserve">List preschools within 5 km; invite their UKG parents to Ready for Real School</t>
  </si>
  <si>
    <t xml:space="preserve">List ready</t>
  </si>
  <si>
    <t xml:space="preserve">P2</t>
  </si>
  <si>
    <t xml:space="preserve">Founder visits to preschools, two a day; disclosed partnership where agreed</t>
  </si>
  <si>
    <t xml:space="preserve">Visits done</t>
  </si>
  <si>
    <t xml:space="preserve">6 Digital</t>
  </si>
  <si>
    <t xml:space="preserve">D1</t>
  </si>
  <si>
    <t xml:space="preserve">WhatsApp status calendar — rotate campaign clips daily</t>
  </si>
  <si>
    <t xml:space="preserve">Daily posts</t>
  </si>
  <si>
    <t xml:space="preserve">D2</t>
  </si>
  <si>
    <t xml:space="preserve">Geo-targeted Instagram and Meta ads, 5 km</t>
  </si>
  <si>
    <t xml:space="preserve">7 Event</t>
  </si>
  <si>
    <t xml:space="preserve">E1</t>
  </si>
  <si>
    <t xml:space="preserve">Vidyarambham and open morning: three slots, tent, booking desks, early-bird</t>
  </si>
  <si>
    <t xml:space="preserve">Founders + KG team</t>
  </si>
  <si>
    <t xml:space="preserve">Event ready</t>
  </si>
  <si>
    <t xml:space="preserve">E2</t>
  </si>
  <si>
    <t xml:space="preserve">Registrations confirmed and reminders sent</t>
  </si>
  <si>
    <t xml:space="preserve">Final list</t>
  </si>
  <si>
    <t xml:space="preserve">★ M7</t>
  </si>
  <si>
    <t xml:space="preserve">E3</t>
  </si>
  <si>
    <t xml:space="preserve">★ Vijayadasami: Vidyarambham, golu, open morning, three slots</t>
  </si>
  <si>
    <t xml:space="preserve">All</t>
  </si>
  <si>
    <t xml:space="preserve">Admissions booked</t>
  </si>
  <si>
    <t xml:space="preserve">★ M8</t>
  </si>
  <si>
    <t xml:space="preserve">E4</t>
  </si>
  <si>
    <t xml:space="preserve">Follow up every undecided family personally</t>
  </si>
  <si>
    <t xml:space="preserve">Closures</t>
  </si>
  <si>
    <t xml:space="preserve">8 Review</t>
  </si>
  <si>
    <t xml:space="preserve">R1</t>
  </si>
  <si>
    <t xml:space="preserve">Daily scorecard, updated every evening</t>
  </si>
  <si>
    <t xml:space="preserve">Scorecard</t>
  </si>
  <si>
    <t xml:space="preserve">R2</t>
  </si>
  <si>
    <t xml:space="preserve">Checkpoint: KG enquiries ≥ 50 and Grade 1 ≥ 25, else add a community event and the mall activation</t>
  </si>
  <si>
    <t xml:space="preserve">Go / adjust</t>
  </si>
  <si>
    <t xml:space="preserve">★ Checkpoint</t>
  </si>
  <si>
    <t xml:space="preserve">R3</t>
  </si>
  <si>
    <t xml:space="preserve">Weekly review with founders</t>
  </si>
  <si>
    <t xml:space="preserve">Review notes</t>
  </si>
  <si>
    <t xml:space="preserve">9 Switchers — families already changing school, any grade (purple lane)</t>
  </si>
  <si>
    <t xml:space="preserve">9 Switchers</t>
  </si>
  <si>
    <t xml:space="preserve">SW1</t>
  </si>
  <si>
    <t xml:space="preserve">Switcher answer card and the "Changing schools?" parent deck ready — includes the three stage one-pagers; refresh the deck whenever a one-pager changes</t>
  </si>
  <si>
    <t xml:space="preserve">Deck and card</t>
  </si>
  <si>
    <t xml:space="preserve">★ SW-M1</t>
  </si>
  <si>
    <t xml:space="preserve">SW2</t>
  </si>
  <si>
    <t xml:space="preserve">Add a "Changing schools?" line to the website, Google listing and WhatsApp clips</t>
  </si>
  <si>
    <t xml:space="preserve">Live everywhere</t>
  </si>
  <si>
    <t xml:space="preserve">SW3</t>
  </si>
  <si>
    <t xml:space="preserve">Triage: switcher enquiries go the same day to Parent Connect and grade coordinators</t>
  </si>
  <si>
    <t xml:space="preserve">Parent Connect</t>
  </si>
  <si>
    <t xml:space="preserve">Routing agreed</t>
  </si>
  <si>
    <t xml:space="preserve">SW4</t>
  </si>
  <si>
    <t xml:space="preserve">Search ads within 5 km: "change school OMR", "Cambridge school near me" — inside the existing ad budget</t>
  </si>
  <si>
    <t xml:space="preserve">SW5</t>
  </si>
  <si>
    <t xml:space="preserve">Transition conversations: two a day, held by grade coordinators</t>
  </si>
  <si>
    <t xml:space="preserve">Grade coordinators</t>
  </si>
  <si>
    <t xml:space="preserve">Conversations held</t>
  </si>
  <si>
    <t xml:space="preserve">SW6</t>
  </si>
  <si>
    <t xml:space="preserve">20 Oct: open classrooms for Grades 2–9 and 11, with a "Changing schools?" desk</t>
  </si>
  <si>
    <t xml:space="preserve">Coordinators</t>
  </si>
  <si>
    <t xml:space="preserve">Desk staffed</t>
  </si>
  <si>
    <t xml:space="preserve">★ SW-M2</t>
  </si>
  <si>
    <t xml:space="preserve">SW7</t>
  </si>
  <si>
    <t xml:space="preserve">Follow up every switcher; mark each as join-now or June 2027</t>
  </si>
  <si>
    <t xml:space="preserve">Pipeline list</t>
  </si>
  <si>
    <t xml:space="preserve">★ SW-M3</t>
  </si>
  <si>
    <t xml:space="preserve">10 Parent fact sheets — needed by both lanes</t>
  </si>
  <si>
    <t xml:space="preserve">10 Fact sheets</t>
  </si>
  <si>
    <t xml:space="preserve">FS1</t>
  </si>
  <si>
    <t xml:space="preserve">Founders fill and approve fees, timings, class sizes and process in HLC_Parent_Fact_Sheets.docx</t>
  </si>
  <si>
    <t xml:space="preserve">Approved sheets</t>
  </si>
  <si>
    <t xml:space="preserve">★ M2b</t>
  </si>
  <si>
    <t xml:space="preserve">FS2</t>
  </si>
  <si>
    <t xml:space="preserve">Fact sheets and the Changing Schools FAQ on the website and in every WhatsApp follow-up</t>
  </si>
  <si>
    <t xml:space="preserve">Live</t>
  </si>
  <si>
    <t xml:space="preserve"> </t>
  </si>
  <si>
    <t xml:space="preserve">Quick wins and milestones</t>
  </si>
  <si>
    <t xml:space="preserve">Each is a date the founders can check.</t>
  </si>
  <si>
    <t xml:space="preserve">Day</t>
  </si>
  <si>
    <t xml:space="preserve">Date</t>
  </si>
  <si>
    <t xml:space="preserve">What</t>
  </si>
  <si>
    <t xml:space="preserve">Measure</t>
  </si>
  <si>
    <t xml:space="preserve">Done?</t>
  </si>
  <si>
    <t xml:space="preserve">Orientation pack started</t>
  </si>
  <si>
    <t xml:space="preserve">Deliverables in the orientation workbook</t>
  </si>
  <si>
    <t xml:space="preserve">Thank-you note sent to every family</t>
  </si>
  <si>
    <t xml:space="preserve">100% of families</t>
  </si>
  <si>
    <t xml:space="preserve">Website live with seat counts and form</t>
  </si>
  <si>
    <t xml:space="preserve">Six hotspot ambassadors in place</t>
  </si>
  <si>
    <t xml:space="preserve">6</t>
  </si>
  <si>
    <t xml:space="preserve">KG ≥ 50 and Grade 1 ≥ 25 enquiries</t>
  </si>
  <si>
    <t xml:space="preserve">Campus tour-ready as HLC Discover</t>
  </si>
  <si>
    <t xml:space="preserve">Signage, toilet, tops, photo wall</t>
  </si>
  <si>
    <t xml:space="preserve">All ≈85 returning families contacted</t>
  </si>
  <si>
    <t xml:space="preserve">85</t>
  </si>
  <si>
    <t xml:space="preserve">Two Ready for Real School sessions held</t>
  </si>
  <si>
    <t xml:space="preserve">2</t>
  </si>
  <si>
    <t xml:space="preserve">Vidyarambham registrations confirmed</t>
  </si>
  <si>
    <t xml:space="preserve">Target 100 families</t>
  </si>
  <si>
    <t xml:space="preserve">Vijayadasami: 20 KG + 10 Grade 1 booked or in final follow-up</t>
  </si>
  <si>
    <t xml:space="preserve">30 seats</t>
  </si>
  <si>
    <t xml:space="preserve">Switcher deck and answer card ready</t>
  </si>
  <si>
    <t xml:space="preserve">Ready</t>
  </si>
  <si>
    <t xml:space="preserve">"Changing schools?" desk on 20 October</t>
  </si>
  <si>
    <t xml:space="preserve">Staffed</t>
  </si>
  <si>
    <t xml:space="preserve">Switcher pipeline classified</t>
  </si>
  <si>
    <t xml:space="preserve">40 leads; 5 confirmed now</t>
  </si>
  <si>
    <t xml:space="preserve">Parent fact sheets approved — fees, payment terms, timings, steps</t>
  </si>
  <si>
    <t xml:space="preserve">Three sheets and FAQ</t>
  </si>
  <si>
    <t xml:space="preserve">Daily scorecard</t>
  </si>
  <si>
    <t xml:space="preserve">Enter each evening. Totals and gaps calculate automatically.</t>
  </si>
  <si>
    <t xml:space="preserve">KG enquiries</t>
  </si>
  <si>
    <t xml:space="preserve">Grade 1 enquiries</t>
  </si>
  <si>
    <t xml:space="preserve">Visits</t>
  </si>
  <si>
    <t xml:space="preserve">Applications</t>
  </si>
  <si>
    <t xml:space="preserve">KG seats</t>
  </si>
  <si>
    <t xml:space="preserve">Grade 1 seats</t>
  </si>
  <si>
    <t xml:space="preserve">Switcher leads</t>
  </si>
  <si>
    <t xml:space="preserve">Switcher confirmations</t>
  </si>
  <si>
    <t xml:space="preserve">Total</t>
  </si>
  <si>
    <t xml:space="preserve">Target</t>
  </si>
  <si>
    <t xml:space="preserve">Gap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</si>
</sst>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d\ d\ mmm"/>
    <numFmt numFmtId="166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7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9.5"/>
      <name val="Arial"/>
      <family val="0"/>
      <charset val="1"/>
    </font>
    <font>
      <b val="true"/>
      <sz val="9.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.5"/>
      <color rgb="FF5B2C83"/>
      <name val="Arial"/>
      <family val="0"/>
      <charset val="1"/>
    </font>
    <font>
      <b val="true"/>
      <sz val="9.5"/>
      <color rgb="FF5B2C83"/>
      <name val="Arial"/>
      <family val="0"/>
      <charset val="1"/>
    </font>
    <font>
      <sz val="9.5"/>
      <color rgb="FF000000"/>
      <name val="Arial"/>
      <family val="0"/>
      <charset val="1"/>
    </font>
    <font>
      <b val="true"/>
      <sz val="9.5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5B2C83"/>
      <name val="Arial"/>
      <family val="0"/>
      <charset val="1"/>
    </font>
    <font>
      <sz val="11"/>
      <color rgb="FF5B2C83"/>
      <name val="Arial"/>
      <family val="0"/>
      <charset val="1"/>
    </font>
    <font>
      <b val="true"/>
      <sz val="11"/>
      <color rgb="FF9C2B2B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333333"/>
      </patternFill>
    </fill>
    <fill>
      <patternFill patternType="solid">
        <fgColor rgb="FFDCE6F1"/>
        <bgColor rgb="FFEDE7F6"/>
      </patternFill>
    </fill>
    <fill>
      <patternFill patternType="solid">
        <fgColor rgb="FF5B2C83"/>
        <bgColor rgb="FF333333"/>
      </patternFill>
    </fill>
    <fill>
      <patternFill patternType="solid">
        <fgColor rgb="FFEDE7F6"/>
        <bgColor rgb="FFDC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7F6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4E79"/>
      <rgbColor rgb="FF339966"/>
      <rgbColor rgb="FF003300"/>
      <rgbColor rgb="FF333300"/>
      <rgbColor rgb="FF9C2B2B"/>
      <rgbColor rgb="FF993366"/>
      <rgbColor rgb="FF5B2C83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5"/>
    <col collapsed="false" customWidth="true" hidden="false" outlineLevel="0" max="3" min="3" style="1" width="58"/>
    <col collapsed="false" customWidth="true" hidden="false" outlineLevel="0" max="4" min="4" style="1" width="20"/>
    <col collapsed="false" customWidth="true" hidden="false" outlineLevel="0" max="5" min="5" style="1" width="7"/>
    <col collapsed="false" customWidth="true" hidden="false" outlineLevel="0" max="6" min="6" style="1" width="11"/>
    <col collapsed="false" customWidth="true" hidden="false" outlineLevel="0" max="7" min="7" style="1" width="7"/>
    <col collapsed="false" customWidth="true" hidden="false" outlineLevel="0" max="8" min="8" style="1" width="11"/>
    <col collapsed="false" customWidth="true" hidden="false" outlineLevel="0" max="9" min="9" style="1" width="18"/>
    <col collapsed="false" customWidth="true" hidden="false" outlineLevel="0" max="11" min="10" style="1" width="12"/>
  </cols>
  <sheetData>
    <row r="1" customFormat="false" ht="18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23.2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customFormat="false" ht="15" hidden="false" customHeight="true" outlineLevel="0" collapsed="false">
      <c r="A5" s="5" t="s">
        <v>13</v>
      </c>
      <c r="B5" s="6"/>
      <c r="C5" s="6"/>
      <c r="D5" s="6"/>
      <c r="E5" s="6"/>
      <c r="F5" s="6"/>
      <c r="G5" s="6"/>
      <c r="H5" s="6"/>
      <c r="I5" s="6"/>
      <c r="J5" s="6"/>
      <c r="K5" s="6"/>
    </row>
    <row r="6" customFormat="false" ht="15" hidden="false" customHeight="true" outlineLevel="0" collapsed="false">
      <c r="A6" s="7" t="s">
        <v>13</v>
      </c>
      <c r="B6" s="7" t="s">
        <v>14</v>
      </c>
      <c r="C6" s="7" t="s">
        <v>15</v>
      </c>
      <c r="D6" s="7" t="s">
        <v>16</v>
      </c>
      <c r="E6" s="7" t="n">
        <v>0</v>
      </c>
      <c r="F6" s="8" t="n">
        <v>46296</v>
      </c>
      <c r="G6" s="7" t="n">
        <v>5</v>
      </c>
      <c r="H6" s="8" t="n">
        <v>46304</v>
      </c>
      <c r="I6" s="7" t="s">
        <v>17</v>
      </c>
      <c r="J6" s="9" t="s">
        <v>18</v>
      </c>
      <c r="K6" s="7" t="s">
        <v>19</v>
      </c>
    </row>
    <row r="7" customFormat="false" ht="15" hidden="false" customHeight="true" outlineLevel="0" collapsed="false">
      <c r="A7" s="5" t="s">
        <v>20</v>
      </c>
      <c r="B7" s="6"/>
      <c r="C7" s="6"/>
      <c r="D7" s="6"/>
      <c r="E7" s="6"/>
      <c r="F7" s="6"/>
      <c r="G7" s="6"/>
      <c r="H7" s="6"/>
      <c r="I7" s="6"/>
      <c r="J7" s="6"/>
      <c r="K7" s="6"/>
    </row>
    <row r="8" customFormat="false" ht="15" hidden="false" customHeight="true" outlineLevel="0" collapsed="false">
      <c r="A8" s="7" t="s">
        <v>20</v>
      </c>
      <c r="B8" s="7" t="s">
        <v>21</v>
      </c>
      <c r="C8" s="7" t="s">
        <v>22</v>
      </c>
      <c r="D8" s="7" t="s">
        <v>23</v>
      </c>
      <c r="E8" s="7" t="n">
        <v>0</v>
      </c>
      <c r="F8" s="8" t="n">
        <v>46296</v>
      </c>
      <c r="G8" s="7" t="n">
        <v>1</v>
      </c>
      <c r="H8" s="8" t="n">
        <v>46300</v>
      </c>
      <c r="I8" s="7" t="s">
        <v>24</v>
      </c>
      <c r="J8" s="9" t="s">
        <v>25</v>
      </c>
      <c r="K8" s="7" t="s">
        <v>19</v>
      </c>
    </row>
    <row r="9" customFormat="false" ht="15" hidden="false" customHeight="true" outlineLevel="0" collapsed="false">
      <c r="A9" s="7" t="s">
        <v>20</v>
      </c>
      <c r="B9" s="7" t="s">
        <v>26</v>
      </c>
      <c r="C9" s="7" t="s">
        <v>27</v>
      </c>
      <c r="D9" s="7" t="s">
        <v>28</v>
      </c>
      <c r="E9" s="7" t="n">
        <v>0</v>
      </c>
      <c r="F9" s="8" t="n">
        <v>46296</v>
      </c>
      <c r="G9" s="7" t="n">
        <v>2</v>
      </c>
      <c r="H9" s="8" t="n">
        <v>46301</v>
      </c>
      <c r="I9" s="7" t="s">
        <v>29</v>
      </c>
      <c r="J9" s="9" t="s">
        <v>30</v>
      </c>
      <c r="K9" s="7" t="s">
        <v>19</v>
      </c>
    </row>
    <row r="10" customFormat="false" ht="15" hidden="false" customHeight="true" outlineLevel="0" collapsed="false">
      <c r="A10" s="7" t="s">
        <v>20</v>
      </c>
      <c r="B10" s="7" t="s">
        <v>31</v>
      </c>
      <c r="C10" s="7" t="s">
        <v>32</v>
      </c>
      <c r="D10" s="7" t="s">
        <v>16</v>
      </c>
      <c r="E10" s="7" t="n">
        <v>0</v>
      </c>
      <c r="F10" s="8" t="n">
        <v>46296</v>
      </c>
      <c r="G10" s="7" t="n">
        <v>1</v>
      </c>
      <c r="H10" s="8" t="n">
        <v>46300</v>
      </c>
      <c r="I10" s="7" t="s">
        <v>33</v>
      </c>
      <c r="J10" s="7"/>
      <c r="K10" s="7" t="s">
        <v>19</v>
      </c>
    </row>
    <row r="11" customFormat="false" ht="23.25" hidden="false" customHeight="true" outlineLevel="0" collapsed="false">
      <c r="A11" s="7" t="s">
        <v>20</v>
      </c>
      <c r="B11" s="7" t="s">
        <v>34</v>
      </c>
      <c r="C11" s="7" t="s">
        <v>35</v>
      </c>
      <c r="D11" s="7" t="s">
        <v>36</v>
      </c>
      <c r="E11" s="7" t="n">
        <v>1</v>
      </c>
      <c r="F11" s="8" t="n">
        <v>46300</v>
      </c>
      <c r="G11" s="7" t="n">
        <v>5</v>
      </c>
      <c r="H11" s="8" t="n">
        <v>46304</v>
      </c>
      <c r="I11" s="7" t="s">
        <v>37</v>
      </c>
      <c r="J11" s="9" t="s">
        <v>38</v>
      </c>
      <c r="K11" s="7" t="s">
        <v>19</v>
      </c>
    </row>
    <row r="12" customFormat="false" ht="23.25" hidden="false" customHeight="true" outlineLevel="0" collapsed="false">
      <c r="A12" s="7" t="s">
        <v>20</v>
      </c>
      <c r="B12" s="7" t="s">
        <v>39</v>
      </c>
      <c r="C12" s="7" t="s">
        <v>40</v>
      </c>
      <c r="D12" s="7" t="s">
        <v>16</v>
      </c>
      <c r="E12" s="7" t="n">
        <v>1</v>
      </c>
      <c r="F12" s="8" t="n">
        <v>46300</v>
      </c>
      <c r="G12" s="7" t="n">
        <v>3</v>
      </c>
      <c r="H12" s="8" t="n">
        <v>46302</v>
      </c>
      <c r="I12" s="7" t="s">
        <v>41</v>
      </c>
      <c r="J12" s="7"/>
      <c r="K12" s="7" t="s">
        <v>19</v>
      </c>
    </row>
    <row r="13" customFormat="false" ht="15" hidden="false" customHeight="true" outlineLevel="0" collapsed="false">
      <c r="A13" s="7" t="s">
        <v>20</v>
      </c>
      <c r="B13" s="7" t="s">
        <v>42</v>
      </c>
      <c r="C13" s="7" t="s">
        <v>43</v>
      </c>
      <c r="D13" s="7" t="s">
        <v>44</v>
      </c>
      <c r="E13" s="7" t="n">
        <v>1</v>
      </c>
      <c r="F13" s="8" t="n">
        <v>46300</v>
      </c>
      <c r="G13" s="7" t="n">
        <v>4</v>
      </c>
      <c r="H13" s="8" t="n">
        <v>46303</v>
      </c>
      <c r="I13" s="7" t="s">
        <v>45</v>
      </c>
      <c r="J13" s="7"/>
      <c r="K13" s="7" t="s">
        <v>19</v>
      </c>
    </row>
    <row r="14" customFormat="false" ht="15" hidden="false" customHeight="true" outlineLevel="0" collapsed="false">
      <c r="A14" s="5" t="s">
        <v>46</v>
      </c>
      <c r="B14" s="6"/>
      <c r="C14" s="6"/>
      <c r="D14" s="6"/>
      <c r="E14" s="6"/>
      <c r="F14" s="6"/>
      <c r="G14" s="6"/>
      <c r="H14" s="6"/>
      <c r="I14" s="6"/>
      <c r="J14" s="6"/>
      <c r="K14" s="6"/>
    </row>
    <row r="15" customFormat="false" ht="23.25" hidden="false" customHeight="true" outlineLevel="0" collapsed="false">
      <c r="A15" s="7" t="s">
        <v>46</v>
      </c>
      <c r="B15" s="7" t="s">
        <v>47</v>
      </c>
      <c r="C15" s="7" t="s">
        <v>48</v>
      </c>
      <c r="D15" s="7" t="s">
        <v>49</v>
      </c>
      <c r="E15" s="7" t="n">
        <v>0</v>
      </c>
      <c r="F15" s="8" t="n">
        <v>46296</v>
      </c>
      <c r="G15" s="7" t="n">
        <v>1</v>
      </c>
      <c r="H15" s="8" t="n">
        <v>46300</v>
      </c>
      <c r="I15" s="7" t="s">
        <v>50</v>
      </c>
      <c r="J15" s="7"/>
      <c r="K15" s="7" t="s">
        <v>19</v>
      </c>
    </row>
    <row r="16" customFormat="false" ht="15" hidden="false" customHeight="true" outlineLevel="0" collapsed="false">
      <c r="A16" s="7" t="s">
        <v>46</v>
      </c>
      <c r="B16" s="7" t="s">
        <v>51</v>
      </c>
      <c r="C16" s="7" t="s">
        <v>52</v>
      </c>
      <c r="D16" s="7" t="s">
        <v>16</v>
      </c>
      <c r="E16" s="7" t="n">
        <v>1</v>
      </c>
      <c r="F16" s="8" t="n">
        <v>46300</v>
      </c>
      <c r="G16" s="7" t="n">
        <v>6</v>
      </c>
      <c r="H16" s="8" t="n">
        <v>46307</v>
      </c>
      <c r="I16" s="7" t="s">
        <v>53</v>
      </c>
      <c r="J16" s="9" t="s">
        <v>54</v>
      </c>
      <c r="K16" s="7" t="s">
        <v>19</v>
      </c>
    </row>
    <row r="17" customFormat="false" ht="15" hidden="false" customHeight="true" outlineLevel="0" collapsed="false">
      <c r="A17" s="7" t="s">
        <v>46</v>
      </c>
      <c r="B17" s="7" t="s">
        <v>55</v>
      </c>
      <c r="C17" s="7" t="s">
        <v>56</v>
      </c>
      <c r="D17" s="7" t="s">
        <v>44</v>
      </c>
      <c r="E17" s="7" t="n">
        <v>1</v>
      </c>
      <c r="F17" s="8" t="n">
        <v>46300</v>
      </c>
      <c r="G17" s="7" t="n">
        <v>8</v>
      </c>
      <c r="H17" s="8" t="n">
        <v>46309</v>
      </c>
      <c r="I17" s="7" t="s">
        <v>57</v>
      </c>
      <c r="J17" s="7"/>
      <c r="K17" s="7" t="s">
        <v>19</v>
      </c>
    </row>
    <row r="18" customFormat="false" ht="15" hidden="false" customHeight="true" outlineLevel="0" collapsed="false">
      <c r="A18" s="5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 customFormat="false" ht="15" hidden="false" customHeight="true" outlineLevel="0" collapsed="false">
      <c r="A19" s="7" t="s">
        <v>58</v>
      </c>
      <c r="B19" s="7" t="s">
        <v>59</v>
      </c>
      <c r="C19" s="7" t="s">
        <v>60</v>
      </c>
      <c r="D19" s="7" t="s">
        <v>61</v>
      </c>
      <c r="E19" s="7" t="n">
        <v>1</v>
      </c>
      <c r="F19" s="8" t="n">
        <v>46300</v>
      </c>
      <c r="G19" s="7" t="n">
        <v>4</v>
      </c>
      <c r="H19" s="8" t="n">
        <v>46303</v>
      </c>
      <c r="I19" s="7" t="s">
        <v>62</v>
      </c>
      <c r="J19" s="9" t="s">
        <v>63</v>
      </c>
      <c r="K19" s="7" t="s">
        <v>19</v>
      </c>
    </row>
    <row r="20" customFormat="false" ht="15" hidden="false" customHeight="true" outlineLevel="0" collapsed="false">
      <c r="A20" s="7" t="s">
        <v>58</v>
      </c>
      <c r="B20" s="7" t="s">
        <v>64</v>
      </c>
      <c r="C20" s="7" t="s">
        <v>65</v>
      </c>
      <c r="D20" s="7" t="s">
        <v>66</v>
      </c>
      <c r="E20" s="7" t="n">
        <v>2</v>
      </c>
      <c r="F20" s="8" t="n">
        <v>46301</v>
      </c>
      <c r="G20" s="7" t="n">
        <v>5</v>
      </c>
      <c r="H20" s="8" t="n">
        <v>46304</v>
      </c>
      <c r="I20" s="7" t="s">
        <v>67</v>
      </c>
      <c r="J20" s="7"/>
      <c r="K20" s="7" t="s">
        <v>19</v>
      </c>
    </row>
    <row r="21" customFormat="false" ht="15" hidden="false" customHeight="true" outlineLevel="0" collapsed="false">
      <c r="A21" s="7" t="s">
        <v>58</v>
      </c>
      <c r="B21" s="7" t="s">
        <v>68</v>
      </c>
      <c r="C21" s="7" t="s">
        <v>69</v>
      </c>
      <c r="D21" s="7" t="s">
        <v>70</v>
      </c>
      <c r="E21" s="7" t="n">
        <v>3</v>
      </c>
      <c r="F21" s="8" t="n">
        <v>46302</v>
      </c>
      <c r="G21" s="7" t="n">
        <v>7</v>
      </c>
      <c r="H21" s="8" t="n">
        <v>46308</v>
      </c>
      <c r="I21" s="7" t="s">
        <v>71</v>
      </c>
      <c r="J21" s="7"/>
      <c r="K21" s="7" t="s">
        <v>19</v>
      </c>
    </row>
    <row r="22" customFormat="false" ht="15" hidden="false" customHeight="true" outlineLevel="0" collapsed="false">
      <c r="A22" s="7" t="s">
        <v>58</v>
      </c>
      <c r="B22" s="7" t="s">
        <v>72</v>
      </c>
      <c r="C22" s="7" t="s">
        <v>73</v>
      </c>
      <c r="D22" s="7" t="s">
        <v>74</v>
      </c>
      <c r="E22" s="7" t="n">
        <v>5</v>
      </c>
      <c r="F22" s="8" t="n">
        <v>46304</v>
      </c>
      <c r="G22" s="7" t="n">
        <v>8</v>
      </c>
      <c r="H22" s="8" t="n">
        <v>46309</v>
      </c>
      <c r="I22" s="7" t="s">
        <v>75</v>
      </c>
      <c r="J22" s="7"/>
      <c r="K22" s="7" t="s">
        <v>19</v>
      </c>
    </row>
    <row r="23" customFormat="false" ht="23.25" hidden="false" customHeight="true" outlineLevel="0" collapsed="false">
      <c r="A23" s="7" t="s">
        <v>58</v>
      </c>
      <c r="B23" s="7" t="s">
        <v>76</v>
      </c>
      <c r="C23" s="7" t="s">
        <v>77</v>
      </c>
      <c r="D23" s="7" t="s">
        <v>78</v>
      </c>
      <c r="E23" s="7" t="n">
        <v>6</v>
      </c>
      <c r="F23" s="8" t="n">
        <v>46307</v>
      </c>
      <c r="G23" s="7" t="n">
        <v>10</v>
      </c>
      <c r="H23" s="8" t="n">
        <v>46311</v>
      </c>
      <c r="I23" s="7" t="s">
        <v>79</v>
      </c>
      <c r="J23" s="7"/>
      <c r="K23" s="7" t="s">
        <v>19</v>
      </c>
    </row>
    <row r="24" customFormat="false" ht="15" hidden="false" customHeight="true" outlineLevel="0" collapsed="false">
      <c r="A24" s="7" t="s">
        <v>58</v>
      </c>
      <c r="B24" s="7" t="s">
        <v>80</v>
      </c>
      <c r="C24" s="7" t="s">
        <v>81</v>
      </c>
      <c r="D24" s="7" t="s">
        <v>82</v>
      </c>
      <c r="E24" s="7" t="n">
        <v>8</v>
      </c>
      <c r="F24" s="8" t="n">
        <v>46309</v>
      </c>
      <c r="G24" s="7" t="n">
        <v>8</v>
      </c>
      <c r="H24" s="8" t="n">
        <v>46309</v>
      </c>
      <c r="I24" s="7" t="s">
        <v>83</v>
      </c>
      <c r="J24" s="7"/>
      <c r="K24" s="7" t="s">
        <v>19</v>
      </c>
    </row>
    <row r="25" customFormat="false" ht="15" hidden="false" customHeight="true" outlineLevel="0" collapsed="false">
      <c r="A25" s="5" t="s">
        <v>84</v>
      </c>
      <c r="B25" s="6"/>
      <c r="C25" s="6"/>
      <c r="D25" s="6"/>
      <c r="E25" s="6"/>
      <c r="F25" s="6"/>
      <c r="G25" s="6"/>
      <c r="H25" s="6"/>
      <c r="I25" s="6"/>
      <c r="J25" s="6"/>
      <c r="K25" s="6"/>
    </row>
    <row r="26" customFormat="false" ht="23.25" hidden="false" customHeight="true" outlineLevel="0" collapsed="false">
      <c r="A26" s="7" t="s">
        <v>84</v>
      </c>
      <c r="B26" s="7" t="s">
        <v>85</v>
      </c>
      <c r="C26" s="7" t="s">
        <v>86</v>
      </c>
      <c r="D26" s="7" t="s">
        <v>87</v>
      </c>
      <c r="E26" s="7" t="n">
        <v>2</v>
      </c>
      <c r="F26" s="8" t="n">
        <v>46301</v>
      </c>
      <c r="G26" s="7" t="n">
        <v>4</v>
      </c>
      <c r="H26" s="8" t="n">
        <v>46303</v>
      </c>
      <c r="I26" s="7" t="s">
        <v>88</v>
      </c>
      <c r="J26" s="7"/>
      <c r="K26" s="7" t="s">
        <v>19</v>
      </c>
    </row>
    <row r="27" customFormat="false" ht="15" hidden="false" customHeight="true" outlineLevel="0" collapsed="false">
      <c r="A27" s="7" t="s">
        <v>84</v>
      </c>
      <c r="B27" s="7" t="s">
        <v>89</v>
      </c>
      <c r="C27" s="7" t="s">
        <v>90</v>
      </c>
      <c r="D27" s="7" t="s">
        <v>16</v>
      </c>
      <c r="E27" s="7" t="n">
        <v>3</v>
      </c>
      <c r="F27" s="8" t="n">
        <v>46302</v>
      </c>
      <c r="G27" s="7" t="n">
        <v>11</v>
      </c>
      <c r="H27" s="8" t="n">
        <v>46315</v>
      </c>
      <c r="I27" s="7" t="s">
        <v>91</v>
      </c>
      <c r="J27" s="7"/>
      <c r="K27" s="7" t="s">
        <v>19</v>
      </c>
    </row>
    <row r="28" customFormat="false" ht="23.25" hidden="false" customHeight="true" outlineLevel="0" collapsed="false">
      <c r="A28" s="7" t="s">
        <v>84</v>
      </c>
      <c r="B28" s="7" t="s">
        <v>92</v>
      </c>
      <c r="C28" s="7" t="s">
        <v>93</v>
      </c>
      <c r="D28" s="7" t="s">
        <v>94</v>
      </c>
      <c r="E28" s="7" t="n">
        <v>5</v>
      </c>
      <c r="F28" s="8" t="n">
        <v>46304</v>
      </c>
      <c r="G28" s="7" t="n">
        <v>11</v>
      </c>
      <c r="H28" s="8" t="n">
        <v>46315</v>
      </c>
      <c r="I28" s="7" t="s">
        <v>95</v>
      </c>
      <c r="J28" s="7"/>
      <c r="K28" s="7" t="s">
        <v>19</v>
      </c>
    </row>
    <row r="29" customFormat="false" ht="23.25" hidden="false" customHeight="true" outlineLevel="0" collapsed="false">
      <c r="A29" s="7" t="s">
        <v>84</v>
      </c>
      <c r="B29" s="7" t="s">
        <v>96</v>
      </c>
      <c r="C29" s="7" t="s">
        <v>97</v>
      </c>
      <c r="D29" s="7" t="s">
        <v>98</v>
      </c>
      <c r="E29" s="7" t="n">
        <v>7</v>
      </c>
      <c r="F29" s="8" t="n">
        <v>46308</v>
      </c>
      <c r="G29" s="7" t="n">
        <v>9</v>
      </c>
      <c r="H29" s="8" t="n">
        <v>46310</v>
      </c>
      <c r="I29" s="7" t="s">
        <v>99</v>
      </c>
      <c r="J29" s="9" t="s">
        <v>100</v>
      </c>
      <c r="K29" s="7" t="s">
        <v>19</v>
      </c>
    </row>
    <row r="30" customFormat="false" ht="15" hidden="false" customHeight="true" outlineLevel="0" collapsed="false">
      <c r="A30" s="5" t="s">
        <v>101</v>
      </c>
      <c r="B30" s="6"/>
      <c r="C30" s="6"/>
      <c r="D30" s="6"/>
      <c r="E30" s="6"/>
      <c r="F30" s="6"/>
      <c r="G30" s="6"/>
      <c r="H30" s="6"/>
      <c r="I30" s="6"/>
      <c r="J30" s="6"/>
      <c r="K30" s="6"/>
    </row>
    <row r="31" customFormat="false" ht="23.25" hidden="false" customHeight="true" outlineLevel="0" collapsed="false">
      <c r="A31" s="7" t="s">
        <v>101</v>
      </c>
      <c r="B31" s="7" t="s">
        <v>102</v>
      </c>
      <c r="C31" s="7" t="s">
        <v>103</v>
      </c>
      <c r="D31" s="7" t="s">
        <v>70</v>
      </c>
      <c r="E31" s="7" t="n">
        <v>1</v>
      </c>
      <c r="F31" s="8" t="n">
        <v>46300</v>
      </c>
      <c r="G31" s="7" t="n">
        <v>2</v>
      </c>
      <c r="H31" s="8" t="n">
        <v>46301</v>
      </c>
      <c r="I31" s="7" t="s">
        <v>104</v>
      </c>
      <c r="J31" s="7"/>
      <c r="K31" s="7" t="s">
        <v>19</v>
      </c>
    </row>
    <row r="32" customFormat="false" ht="23.25" hidden="false" customHeight="true" outlineLevel="0" collapsed="false">
      <c r="A32" s="7" t="s">
        <v>101</v>
      </c>
      <c r="B32" s="7" t="s">
        <v>105</v>
      </c>
      <c r="C32" s="7" t="s">
        <v>106</v>
      </c>
      <c r="D32" s="7" t="s">
        <v>44</v>
      </c>
      <c r="E32" s="7" t="n">
        <v>3</v>
      </c>
      <c r="F32" s="8" t="n">
        <v>46302</v>
      </c>
      <c r="G32" s="7" t="n">
        <v>8</v>
      </c>
      <c r="H32" s="8" t="n">
        <v>46309</v>
      </c>
      <c r="I32" s="7" t="s">
        <v>107</v>
      </c>
      <c r="J32" s="7"/>
      <c r="K32" s="7" t="s">
        <v>19</v>
      </c>
    </row>
    <row r="33" customFormat="false" ht="15" hidden="false" customHeight="true" outlineLevel="0" collapsed="false">
      <c r="A33" s="5" t="s">
        <v>108</v>
      </c>
      <c r="B33" s="6"/>
      <c r="C33" s="6"/>
      <c r="D33" s="6"/>
      <c r="E33" s="6"/>
      <c r="F33" s="6"/>
      <c r="G33" s="6"/>
      <c r="H33" s="6"/>
      <c r="I33" s="6"/>
      <c r="J33" s="6"/>
      <c r="K33" s="6"/>
    </row>
    <row r="34" customFormat="false" ht="15" hidden="false" customHeight="true" outlineLevel="0" collapsed="false">
      <c r="A34" s="7" t="s">
        <v>108</v>
      </c>
      <c r="B34" s="7" t="s">
        <v>109</v>
      </c>
      <c r="C34" s="7" t="s">
        <v>110</v>
      </c>
      <c r="D34" s="7" t="s">
        <v>16</v>
      </c>
      <c r="E34" s="7" t="n">
        <v>1</v>
      </c>
      <c r="F34" s="8" t="n">
        <v>46300</v>
      </c>
      <c r="G34" s="7" t="n">
        <v>11</v>
      </c>
      <c r="H34" s="8" t="n">
        <v>46315</v>
      </c>
      <c r="I34" s="7" t="s">
        <v>111</v>
      </c>
      <c r="J34" s="7"/>
      <c r="K34" s="7" t="s">
        <v>19</v>
      </c>
    </row>
    <row r="35" customFormat="false" ht="15" hidden="false" customHeight="true" outlineLevel="0" collapsed="false">
      <c r="A35" s="7" t="s">
        <v>108</v>
      </c>
      <c r="B35" s="7" t="s">
        <v>112</v>
      </c>
      <c r="C35" s="7" t="s">
        <v>113</v>
      </c>
      <c r="D35" s="7" t="s">
        <v>16</v>
      </c>
      <c r="E35" s="7" t="n">
        <v>3</v>
      </c>
      <c r="F35" s="8" t="n">
        <v>46302</v>
      </c>
      <c r="G35" s="7" t="n">
        <v>11</v>
      </c>
      <c r="H35" s="8" t="n">
        <v>46315</v>
      </c>
      <c r="I35" s="7" t="s">
        <v>91</v>
      </c>
      <c r="J35" s="7"/>
      <c r="K35" s="7" t="s">
        <v>19</v>
      </c>
    </row>
    <row r="36" customFormat="false" ht="15" hidden="false" customHeight="true" outlineLevel="0" collapsed="false">
      <c r="A36" s="5" t="s">
        <v>114</v>
      </c>
      <c r="B36" s="6"/>
      <c r="C36" s="6"/>
      <c r="D36" s="6"/>
      <c r="E36" s="6"/>
      <c r="F36" s="6"/>
      <c r="G36" s="6"/>
      <c r="H36" s="6"/>
      <c r="I36" s="6"/>
      <c r="J36" s="6"/>
      <c r="K36" s="6"/>
    </row>
    <row r="37" customFormat="false" ht="23.25" hidden="false" customHeight="true" outlineLevel="0" collapsed="false">
      <c r="A37" s="7" t="s">
        <v>114</v>
      </c>
      <c r="B37" s="7" t="s">
        <v>115</v>
      </c>
      <c r="C37" s="7" t="s">
        <v>116</v>
      </c>
      <c r="D37" s="7" t="s">
        <v>117</v>
      </c>
      <c r="E37" s="7" t="n">
        <v>3</v>
      </c>
      <c r="F37" s="8" t="n">
        <v>46302</v>
      </c>
      <c r="G37" s="7" t="n">
        <v>10</v>
      </c>
      <c r="H37" s="8" t="n">
        <v>46311</v>
      </c>
      <c r="I37" s="7" t="s">
        <v>118</v>
      </c>
      <c r="J37" s="7"/>
      <c r="K37" s="7" t="s">
        <v>19</v>
      </c>
    </row>
    <row r="38" customFormat="false" ht="15" hidden="false" customHeight="true" outlineLevel="0" collapsed="false">
      <c r="A38" s="7" t="s">
        <v>114</v>
      </c>
      <c r="B38" s="7" t="s">
        <v>119</v>
      </c>
      <c r="C38" s="7" t="s">
        <v>120</v>
      </c>
      <c r="D38" s="7" t="s">
        <v>16</v>
      </c>
      <c r="E38" s="7" t="n">
        <v>9</v>
      </c>
      <c r="F38" s="8" t="n">
        <v>46310</v>
      </c>
      <c r="G38" s="7" t="n">
        <v>10</v>
      </c>
      <c r="H38" s="8" t="n">
        <v>46311</v>
      </c>
      <c r="I38" s="7" t="s">
        <v>121</v>
      </c>
      <c r="J38" s="9" t="s">
        <v>122</v>
      </c>
      <c r="K38" s="7" t="s">
        <v>19</v>
      </c>
    </row>
    <row r="39" customFormat="false" ht="15" hidden="false" customHeight="true" outlineLevel="0" collapsed="false">
      <c r="A39" s="7" t="s">
        <v>114</v>
      </c>
      <c r="B39" s="7" t="s">
        <v>123</v>
      </c>
      <c r="C39" s="9" t="s">
        <v>124</v>
      </c>
      <c r="D39" s="7" t="s">
        <v>125</v>
      </c>
      <c r="E39" s="7" t="n">
        <v>11</v>
      </c>
      <c r="F39" s="8" t="n">
        <v>46315</v>
      </c>
      <c r="G39" s="7" t="n">
        <v>11</v>
      </c>
      <c r="H39" s="8" t="n">
        <v>46315</v>
      </c>
      <c r="I39" s="7" t="s">
        <v>126</v>
      </c>
      <c r="J39" s="9" t="s">
        <v>127</v>
      </c>
      <c r="K39" s="7" t="s">
        <v>19</v>
      </c>
    </row>
    <row r="40" customFormat="false" ht="15" hidden="false" customHeight="true" outlineLevel="0" collapsed="false">
      <c r="A40" s="7" t="s">
        <v>114</v>
      </c>
      <c r="B40" s="7" t="s">
        <v>128</v>
      </c>
      <c r="C40" s="7" t="s">
        <v>129</v>
      </c>
      <c r="D40" s="7" t="s">
        <v>23</v>
      </c>
      <c r="E40" s="7" t="n">
        <v>12</v>
      </c>
      <c r="F40" s="8" t="n">
        <v>46316</v>
      </c>
      <c r="G40" s="7" t="n">
        <v>14</v>
      </c>
      <c r="H40" s="8" t="n">
        <v>46318</v>
      </c>
      <c r="I40" s="7" t="s">
        <v>130</v>
      </c>
      <c r="J40" s="7"/>
      <c r="K40" s="7" t="s">
        <v>19</v>
      </c>
    </row>
    <row r="41" customFormat="false" ht="15" hidden="false" customHeight="true" outlineLevel="0" collapsed="false">
      <c r="A41" s="5" t="s">
        <v>131</v>
      </c>
      <c r="B41" s="6"/>
      <c r="C41" s="6"/>
      <c r="D41" s="6"/>
      <c r="E41" s="6"/>
      <c r="F41" s="6"/>
      <c r="G41" s="6"/>
      <c r="H41" s="6"/>
      <c r="I41" s="6"/>
      <c r="J41" s="6"/>
      <c r="K41" s="6"/>
    </row>
    <row r="42" customFormat="false" ht="15" hidden="false" customHeight="true" outlineLevel="0" collapsed="false">
      <c r="A42" s="7" t="s">
        <v>131</v>
      </c>
      <c r="B42" s="7" t="s">
        <v>132</v>
      </c>
      <c r="C42" s="7" t="s">
        <v>133</v>
      </c>
      <c r="D42" s="7" t="s">
        <v>16</v>
      </c>
      <c r="E42" s="7" t="n">
        <v>1</v>
      </c>
      <c r="F42" s="8" t="n">
        <v>46300</v>
      </c>
      <c r="G42" s="7" t="n">
        <v>14</v>
      </c>
      <c r="H42" s="8" t="n">
        <v>46318</v>
      </c>
      <c r="I42" s="7" t="s">
        <v>134</v>
      </c>
      <c r="J42" s="7"/>
      <c r="K42" s="7" t="s">
        <v>19</v>
      </c>
    </row>
    <row r="43" customFormat="false" ht="23.25" hidden="false" customHeight="true" outlineLevel="0" collapsed="false">
      <c r="A43" s="7" t="s">
        <v>131</v>
      </c>
      <c r="B43" s="7" t="s">
        <v>135</v>
      </c>
      <c r="C43" s="7" t="s">
        <v>136</v>
      </c>
      <c r="D43" s="7" t="s">
        <v>23</v>
      </c>
      <c r="E43" s="7" t="n">
        <v>4</v>
      </c>
      <c r="F43" s="8" t="n">
        <v>46303</v>
      </c>
      <c r="G43" s="7" t="n">
        <v>4</v>
      </c>
      <c r="H43" s="8" t="n">
        <v>46303</v>
      </c>
      <c r="I43" s="7" t="s">
        <v>137</v>
      </c>
      <c r="J43" s="9" t="s">
        <v>138</v>
      </c>
      <c r="K43" s="7" t="s">
        <v>19</v>
      </c>
    </row>
    <row r="44" customFormat="false" ht="15" hidden="false" customHeight="true" outlineLevel="0" collapsed="false">
      <c r="A44" s="7" t="s">
        <v>131</v>
      </c>
      <c r="B44" s="7" t="s">
        <v>139</v>
      </c>
      <c r="C44" s="7" t="s">
        <v>140</v>
      </c>
      <c r="D44" s="7" t="s">
        <v>23</v>
      </c>
      <c r="E44" s="7" t="n">
        <v>5</v>
      </c>
      <c r="F44" s="8" t="n">
        <v>46304</v>
      </c>
      <c r="G44" s="7" t="n">
        <v>10</v>
      </c>
      <c r="H44" s="8" t="n">
        <v>46311</v>
      </c>
      <c r="I44" s="7" t="s">
        <v>141</v>
      </c>
      <c r="J44" s="7"/>
      <c r="K44" s="7" t="s">
        <v>19</v>
      </c>
    </row>
    <row r="46" customFormat="false" ht="15" hidden="false" customHeight="true" outlineLevel="0" collapsed="false">
      <c r="A46" s="10" t="s">
        <v>142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customFormat="false" ht="15" hidden="false" customHeight="true" outlineLevel="0" collapsed="false">
      <c r="A47" s="12" t="s">
        <v>143</v>
      </c>
      <c r="B47" s="12" t="s">
        <v>144</v>
      </c>
      <c r="C47" s="12" t="s">
        <v>145</v>
      </c>
      <c r="D47" s="12" t="s">
        <v>16</v>
      </c>
      <c r="E47" s="12" t="n">
        <v>1</v>
      </c>
      <c r="F47" s="13" t="n">
        <v>46300</v>
      </c>
      <c r="G47" s="12" t="n">
        <v>2</v>
      </c>
      <c r="H47" s="13" t="n">
        <v>46301</v>
      </c>
      <c r="I47" s="12" t="s">
        <v>146</v>
      </c>
      <c r="J47" s="14" t="s">
        <v>147</v>
      </c>
      <c r="K47" s="12" t="s">
        <v>19</v>
      </c>
    </row>
    <row r="48" customFormat="false" ht="23.25" hidden="false" customHeight="true" outlineLevel="0" collapsed="false">
      <c r="A48" s="12" t="s">
        <v>143</v>
      </c>
      <c r="B48" s="12" t="s">
        <v>148</v>
      </c>
      <c r="C48" s="12" t="s">
        <v>149</v>
      </c>
      <c r="D48" s="12" t="s">
        <v>16</v>
      </c>
      <c r="E48" s="12" t="n">
        <v>1</v>
      </c>
      <c r="F48" s="13" t="n">
        <v>46300</v>
      </c>
      <c r="G48" s="12" t="n">
        <v>3</v>
      </c>
      <c r="H48" s="13" t="n">
        <v>46302</v>
      </c>
      <c r="I48" s="12" t="s">
        <v>150</v>
      </c>
      <c r="J48" s="12"/>
      <c r="K48" s="12" t="s">
        <v>19</v>
      </c>
    </row>
    <row r="49" customFormat="false" ht="23.25" hidden="false" customHeight="true" outlineLevel="0" collapsed="false">
      <c r="A49" s="12" t="s">
        <v>143</v>
      </c>
      <c r="B49" s="12" t="s">
        <v>151</v>
      </c>
      <c r="C49" s="12" t="s">
        <v>152</v>
      </c>
      <c r="D49" s="12" t="s">
        <v>153</v>
      </c>
      <c r="E49" s="12" t="n">
        <v>2</v>
      </c>
      <c r="F49" s="13" t="n">
        <v>46301</v>
      </c>
      <c r="G49" s="12" t="n">
        <v>2</v>
      </c>
      <c r="H49" s="13" t="n">
        <v>46301</v>
      </c>
      <c r="I49" s="12" t="s">
        <v>154</v>
      </c>
      <c r="J49" s="12"/>
      <c r="K49" s="12" t="s">
        <v>19</v>
      </c>
    </row>
    <row r="50" customFormat="false" ht="23.25" hidden="false" customHeight="true" outlineLevel="0" collapsed="false">
      <c r="A50" s="12" t="s">
        <v>143</v>
      </c>
      <c r="B50" s="12" t="s">
        <v>155</v>
      </c>
      <c r="C50" s="12" t="s">
        <v>156</v>
      </c>
      <c r="D50" s="12" t="s">
        <v>16</v>
      </c>
      <c r="E50" s="12" t="n">
        <v>3</v>
      </c>
      <c r="F50" s="13" t="n">
        <v>46302</v>
      </c>
      <c r="G50" s="12" t="n">
        <v>11</v>
      </c>
      <c r="H50" s="13" t="n">
        <v>46315</v>
      </c>
      <c r="I50" s="12" t="s">
        <v>91</v>
      </c>
      <c r="J50" s="12"/>
      <c r="K50" s="12" t="s">
        <v>19</v>
      </c>
    </row>
    <row r="51" customFormat="false" ht="15" hidden="false" customHeight="true" outlineLevel="0" collapsed="false">
      <c r="A51" s="12" t="s">
        <v>143</v>
      </c>
      <c r="B51" s="12" t="s">
        <v>157</v>
      </c>
      <c r="C51" s="12" t="s">
        <v>158</v>
      </c>
      <c r="D51" s="12" t="s">
        <v>159</v>
      </c>
      <c r="E51" s="12" t="n">
        <v>5</v>
      </c>
      <c r="F51" s="13" t="n">
        <v>46304</v>
      </c>
      <c r="G51" s="12" t="n">
        <v>11</v>
      </c>
      <c r="H51" s="13" t="n">
        <v>46315</v>
      </c>
      <c r="I51" s="12" t="s">
        <v>160</v>
      </c>
      <c r="J51" s="12"/>
      <c r="K51" s="12" t="s">
        <v>19</v>
      </c>
    </row>
    <row r="52" customFormat="false" ht="23.25" hidden="false" customHeight="true" outlineLevel="0" collapsed="false">
      <c r="A52" s="12" t="s">
        <v>143</v>
      </c>
      <c r="B52" s="12" t="s">
        <v>161</v>
      </c>
      <c r="C52" s="12" t="s">
        <v>162</v>
      </c>
      <c r="D52" s="12" t="s">
        <v>163</v>
      </c>
      <c r="E52" s="12" t="n">
        <v>11</v>
      </c>
      <c r="F52" s="13" t="n">
        <v>46315</v>
      </c>
      <c r="G52" s="12" t="n">
        <v>11</v>
      </c>
      <c r="H52" s="13" t="n">
        <v>46315</v>
      </c>
      <c r="I52" s="12" t="s">
        <v>164</v>
      </c>
      <c r="J52" s="14" t="s">
        <v>165</v>
      </c>
      <c r="K52" s="12" t="s">
        <v>19</v>
      </c>
    </row>
    <row r="53" customFormat="false" ht="15" hidden="false" customHeight="true" outlineLevel="0" collapsed="false">
      <c r="A53" s="12" t="s">
        <v>143</v>
      </c>
      <c r="B53" s="12" t="s">
        <v>166</v>
      </c>
      <c r="C53" s="12" t="s">
        <v>167</v>
      </c>
      <c r="D53" s="12" t="s">
        <v>153</v>
      </c>
      <c r="E53" s="12" t="n">
        <v>12</v>
      </c>
      <c r="F53" s="13" t="n">
        <v>46316</v>
      </c>
      <c r="G53" s="12" t="n">
        <v>14</v>
      </c>
      <c r="H53" s="13" t="n">
        <v>46318</v>
      </c>
      <c r="I53" s="12" t="s">
        <v>168</v>
      </c>
      <c r="J53" s="14" t="s">
        <v>169</v>
      </c>
      <c r="K53" s="12" t="s">
        <v>19</v>
      </c>
    </row>
    <row r="55" customFormat="false" ht="15" hidden="false" customHeight="true" outlineLevel="0" collapsed="false">
      <c r="A55" s="5" t="s">
        <v>170</v>
      </c>
      <c r="B55" s="6"/>
      <c r="C55" s="6"/>
      <c r="D55" s="6"/>
      <c r="E55" s="6"/>
      <c r="F55" s="6"/>
      <c r="G55" s="6"/>
      <c r="H55" s="6"/>
      <c r="I55" s="6"/>
      <c r="J55" s="6"/>
      <c r="K55" s="6"/>
    </row>
    <row r="56" customFormat="false" ht="23.25" hidden="false" customHeight="true" outlineLevel="0" collapsed="false">
      <c r="A56" s="15" t="s">
        <v>171</v>
      </c>
      <c r="B56" s="15" t="s">
        <v>172</v>
      </c>
      <c r="C56" s="15" t="s">
        <v>173</v>
      </c>
      <c r="D56" s="15" t="s">
        <v>44</v>
      </c>
      <c r="E56" s="15" t="n">
        <v>1</v>
      </c>
      <c r="F56" s="16" t="n">
        <v>46300</v>
      </c>
      <c r="G56" s="15" t="n">
        <v>2</v>
      </c>
      <c r="H56" s="16" t="n">
        <v>46301</v>
      </c>
      <c r="I56" s="15" t="s">
        <v>174</v>
      </c>
      <c r="J56" s="17" t="s">
        <v>175</v>
      </c>
      <c r="K56" s="15" t="s">
        <v>19</v>
      </c>
    </row>
    <row r="57" customFormat="false" ht="23.25" hidden="false" customHeight="true" outlineLevel="0" collapsed="false">
      <c r="A57" s="12" t="s">
        <v>171</v>
      </c>
      <c r="B57" s="12" t="s">
        <v>176</v>
      </c>
      <c r="C57" s="12" t="s">
        <v>177</v>
      </c>
      <c r="D57" s="12" t="s">
        <v>16</v>
      </c>
      <c r="E57" s="12" t="n">
        <v>2</v>
      </c>
      <c r="F57" s="13" t="n">
        <v>46301</v>
      </c>
      <c r="G57" s="12" t="n">
        <v>3</v>
      </c>
      <c r="H57" s="13" t="n">
        <v>46302</v>
      </c>
      <c r="I57" s="12" t="s">
        <v>178</v>
      </c>
      <c r="J57" s="12" t="s">
        <v>179</v>
      </c>
      <c r="K57" s="1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6"/>
    <col collapsed="false" customWidth="true" hidden="false" outlineLevel="0" max="3" min="3" style="1" width="11"/>
    <col collapsed="false" customWidth="true" hidden="false" outlineLevel="0" max="4" min="4" style="1" width="48"/>
    <col collapsed="false" customWidth="true" hidden="false" outlineLevel="0" max="5" min="5" style="1" width="30"/>
    <col collapsed="false" customWidth="true" hidden="false" outlineLevel="0" max="6" min="6" style="1" width="10"/>
  </cols>
  <sheetData>
    <row r="1" customFormat="false" ht="18" hidden="false" customHeight="true" outlineLevel="0" collapsed="false">
      <c r="A1" s="2" t="s">
        <v>180</v>
      </c>
    </row>
    <row r="2" customFormat="false" ht="15" hidden="false" customHeight="true" outlineLevel="0" collapsed="false">
      <c r="A2" s="3" t="s">
        <v>181</v>
      </c>
    </row>
    <row r="4" customFormat="false" ht="15" hidden="false" customHeight="true" outlineLevel="0" collapsed="false">
      <c r="A4" s="4" t="s">
        <v>11</v>
      </c>
      <c r="B4" s="4" t="s">
        <v>182</v>
      </c>
      <c r="C4" s="4" t="s">
        <v>183</v>
      </c>
      <c r="D4" s="4" t="s">
        <v>184</v>
      </c>
      <c r="E4" s="4" t="s">
        <v>185</v>
      </c>
      <c r="F4" s="4" t="s">
        <v>186</v>
      </c>
    </row>
    <row r="5" customFormat="false" ht="23.25" hidden="false" customHeight="true" outlineLevel="0" collapsed="false">
      <c r="A5" s="9" t="s">
        <v>18</v>
      </c>
      <c r="B5" s="7" t="n">
        <v>0</v>
      </c>
      <c r="C5" s="8" t="n">
        <v>46296</v>
      </c>
      <c r="D5" s="7" t="s">
        <v>187</v>
      </c>
      <c r="E5" s="7" t="s">
        <v>188</v>
      </c>
      <c r="F5" s="7"/>
    </row>
    <row r="6" customFormat="false" ht="15" hidden="false" customHeight="true" outlineLevel="0" collapsed="false">
      <c r="A6" s="9" t="s">
        <v>25</v>
      </c>
      <c r="B6" s="7" t="n">
        <v>1</v>
      </c>
      <c r="C6" s="8" t="n">
        <v>46300</v>
      </c>
      <c r="D6" s="7" t="s">
        <v>189</v>
      </c>
      <c r="E6" s="7" t="s">
        <v>190</v>
      </c>
      <c r="F6" s="7"/>
    </row>
    <row r="7" customFormat="false" ht="15" hidden="false" customHeight="true" outlineLevel="0" collapsed="false">
      <c r="A7" s="9" t="s">
        <v>30</v>
      </c>
      <c r="B7" s="7" t="n">
        <v>2</v>
      </c>
      <c r="C7" s="8" t="n">
        <v>46301</v>
      </c>
      <c r="D7" s="7" t="s">
        <v>191</v>
      </c>
      <c r="E7" s="7" t="s">
        <v>178</v>
      </c>
      <c r="F7" s="7"/>
    </row>
    <row r="8" customFormat="false" ht="15" hidden="false" customHeight="true" outlineLevel="0" collapsed="false">
      <c r="A8" s="9" t="s">
        <v>63</v>
      </c>
      <c r="B8" s="7" t="n">
        <v>4</v>
      </c>
      <c r="C8" s="8" t="n">
        <v>46303</v>
      </c>
      <c r="D8" s="7" t="s">
        <v>192</v>
      </c>
      <c r="E8" s="7" t="s">
        <v>193</v>
      </c>
      <c r="F8" s="7"/>
    </row>
    <row r="9" customFormat="false" ht="23.25" hidden="false" customHeight="true" outlineLevel="0" collapsed="false">
      <c r="A9" s="9" t="s">
        <v>138</v>
      </c>
      <c r="B9" s="7" t="n">
        <v>4</v>
      </c>
      <c r="C9" s="8" t="n">
        <v>46303</v>
      </c>
      <c r="D9" s="7" t="s">
        <v>194</v>
      </c>
      <c r="E9" s="7" t="s">
        <v>137</v>
      </c>
      <c r="F9" s="7"/>
    </row>
    <row r="10" customFormat="false" ht="15" hidden="false" customHeight="true" outlineLevel="0" collapsed="false">
      <c r="A10" s="9" t="s">
        <v>38</v>
      </c>
      <c r="B10" s="7" t="n">
        <v>5</v>
      </c>
      <c r="C10" s="8" t="n">
        <v>46304</v>
      </c>
      <c r="D10" s="7" t="s">
        <v>195</v>
      </c>
      <c r="E10" s="7" t="s">
        <v>196</v>
      </c>
      <c r="F10" s="7"/>
    </row>
    <row r="11" customFormat="false" ht="15" hidden="false" customHeight="true" outlineLevel="0" collapsed="false">
      <c r="A11" s="9" t="s">
        <v>54</v>
      </c>
      <c r="B11" s="7" t="n">
        <v>6</v>
      </c>
      <c r="C11" s="8" t="n">
        <v>46307</v>
      </c>
      <c r="D11" s="7" t="s">
        <v>197</v>
      </c>
      <c r="E11" s="7" t="s">
        <v>198</v>
      </c>
      <c r="F11" s="7"/>
    </row>
    <row r="12" customFormat="false" ht="15" hidden="false" customHeight="true" outlineLevel="0" collapsed="false">
      <c r="A12" s="9" t="s">
        <v>100</v>
      </c>
      <c r="B12" s="7" t="n">
        <v>9</v>
      </c>
      <c r="C12" s="8" t="n">
        <v>46310</v>
      </c>
      <c r="D12" s="7" t="s">
        <v>199</v>
      </c>
      <c r="E12" s="7" t="s">
        <v>200</v>
      </c>
      <c r="F12" s="7"/>
    </row>
    <row r="13" customFormat="false" ht="15" hidden="false" customHeight="true" outlineLevel="0" collapsed="false">
      <c r="A13" s="9" t="s">
        <v>122</v>
      </c>
      <c r="B13" s="7" t="n">
        <v>10</v>
      </c>
      <c r="C13" s="8" t="n">
        <v>46311</v>
      </c>
      <c r="D13" s="7" t="s">
        <v>201</v>
      </c>
      <c r="E13" s="7" t="s">
        <v>202</v>
      </c>
      <c r="F13" s="7"/>
    </row>
    <row r="14" customFormat="false" ht="23.25" hidden="false" customHeight="true" outlineLevel="0" collapsed="false">
      <c r="A14" s="9" t="s">
        <v>127</v>
      </c>
      <c r="B14" s="7" t="n">
        <v>11</v>
      </c>
      <c r="C14" s="8" t="n">
        <v>46315</v>
      </c>
      <c r="D14" s="7" t="s">
        <v>203</v>
      </c>
      <c r="E14" s="7" t="s">
        <v>204</v>
      </c>
      <c r="F14" s="7"/>
    </row>
    <row r="15" customFormat="false" ht="15" hidden="false" customHeight="true" outlineLevel="0" collapsed="false">
      <c r="A15" s="14" t="s">
        <v>147</v>
      </c>
      <c r="B15" s="12" t="n">
        <v>2</v>
      </c>
      <c r="C15" s="13" t="n">
        <v>46301</v>
      </c>
      <c r="D15" s="12" t="s">
        <v>205</v>
      </c>
      <c r="E15" s="12" t="s">
        <v>206</v>
      </c>
      <c r="F15" s="12"/>
    </row>
    <row r="16" customFormat="false" ht="15" hidden="false" customHeight="true" outlineLevel="0" collapsed="false">
      <c r="A16" s="14" t="s">
        <v>165</v>
      </c>
      <c r="B16" s="12" t="n">
        <v>11</v>
      </c>
      <c r="C16" s="13" t="n">
        <v>46315</v>
      </c>
      <c r="D16" s="12" t="s">
        <v>207</v>
      </c>
      <c r="E16" s="12" t="s">
        <v>208</v>
      </c>
      <c r="F16" s="12"/>
    </row>
    <row r="17" customFormat="false" ht="15" hidden="false" customHeight="true" outlineLevel="0" collapsed="false">
      <c r="A17" s="14" t="s">
        <v>169</v>
      </c>
      <c r="B17" s="12" t="n">
        <v>14</v>
      </c>
      <c r="C17" s="13" t="n">
        <v>46318</v>
      </c>
      <c r="D17" s="12" t="s">
        <v>209</v>
      </c>
      <c r="E17" s="12" t="s">
        <v>210</v>
      </c>
      <c r="F17" s="12"/>
    </row>
    <row r="18" customFormat="false" ht="23.25" hidden="false" customHeight="true" outlineLevel="0" collapsed="false">
      <c r="A18" s="18" t="s">
        <v>175</v>
      </c>
      <c r="B18" s="19" t="n">
        <v>2</v>
      </c>
      <c r="C18" s="20" t="n">
        <v>46301</v>
      </c>
      <c r="D18" s="19" t="s">
        <v>211</v>
      </c>
      <c r="E18" s="19" t="s">
        <v>212</v>
      </c>
      <c r="F18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1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9"/>
    <col collapsed="false" customWidth="true" hidden="false" outlineLevel="0" max="6" min="6" style="1" width="12"/>
    <col collapsed="false" customWidth="true" hidden="false" outlineLevel="0" max="7" min="7" style="1" width="9"/>
    <col collapsed="false" customWidth="true" hidden="false" outlineLevel="0" max="8" min="8" style="1" width="12"/>
    <col collapsed="false" customWidth="true" hidden="false" outlineLevel="0" max="10" min="9" style="1" width="14"/>
  </cols>
  <sheetData>
    <row r="1" customFormat="false" ht="18" hidden="false" customHeight="true" outlineLevel="0" collapsed="false">
      <c r="A1" s="2" t="s">
        <v>213</v>
      </c>
    </row>
    <row r="2" customFormat="false" ht="15" hidden="false" customHeight="true" outlineLevel="0" collapsed="false">
      <c r="A2" s="3" t="s">
        <v>214</v>
      </c>
    </row>
    <row r="4" customFormat="false" ht="23.25" hidden="false" customHeight="true" outlineLevel="0" collapsed="false">
      <c r="A4" s="4" t="s">
        <v>182</v>
      </c>
      <c r="B4" s="4" t="s">
        <v>183</v>
      </c>
      <c r="C4" s="4" t="s">
        <v>215</v>
      </c>
      <c r="D4" s="4" t="s">
        <v>216</v>
      </c>
      <c r="E4" s="4" t="s">
        <v>217</v>
      </c>
      <c r="F4" s="4" t="s">
        <v>218</v>
      </c>
      <c r="G4" s="4" t="s">
        <v>219</v>
      </c>
      <c r="H4" s="4" t="s">
        <v>220</v>
      </c>
      <c r="I4" s="21" t="s">
        <v>221</v>
      </c>
      <c r="J4" s="21" t="s">
        <v>222</v>
      </c>
    </row>
    <row r="5" customFormat="false" ht="15" hidden="false" customHeight="true" outlineLevel="0" collapsed="false">
      <c r="A5" s="7" t="n">
        <v>0</v>
      </c>
      <c r="B5" s="8" t="n">
        <v>46296</v>
      </c>
      <c r="C5" s="7"/>
      <c r="D5" s="7"/>
      <c r="E5" s="7"/>
      <c r="F5" s="7"/>
      <c r="G5" s="7"/>
      <c r="H5" s="7"/>
      <c r="I5" s="22"/>
      <c r="J5" s="22"/>
    </row>
    <row r="6" customFormat="false" ht="15" hidden="false" customHeight="true" outlineLevel="0" collapsed="false">
      <c r="A6" s="7" t="n">
        <v>1</v>
      </c>
      <c r="B6" s="8" t="n">
        <v>46300</v>
      </c>
      <c r="C6" s="7"/>
      <c r="D6" s="7"/>
      <c r="E6" s="7"/>
      <c r="F6" s="7"/>
      <c r="G6" s="7"/>
      <c r="H6" s="7"/>
      <c r="I6" s="22"/>
      <c r="J6" s="22"/>
    </row>
    <row r="7" customFormat="false" ht="15" hidden="false" customHeight="true" outlineLevel="0" collapsed="false">
      <c r="A7" s="7" t="n">
        <v>2</v>
      </c>
      <c r="B7" s="8" t="n">
        <v>46301</v>
      </c>
      <c r="C7" s="7"/>
      <c r="D7" s="7"/>
      <c r="E7" s="7"/>
      <c r="F7" s="7"/>
      <c r="G7" s="7"/>
      <c r="H7" s="7"/>
      <c r="I7" s="22"/>
      <c r="J7" s="22"/>
    </row>
    <row r="8" customFormat="false" ht="15" hidden="false" customHeight="true" outlineLevel="0" collapsed="false">
      <c r="A8" s="7" t="n">
        <v>3</v>
      </c>
      <c r="B8" s="8" t="n">
        <v>46302</v>
      </c>
      <c r="C8" s="7"/>
      <c r="D8" s="7"/>
      <c r="E8" s="7"/>
      <c r="F8" s="7"/>
      <c r="G8" s="7"/>
      <c r="H8" s="7"/>
      <c r="I8" s="22"/>
      <c r="J8" s="22"/>
    </row>
    <row r="9" customFormat="false" ht="15" hidden="false" customHeight="true" outlineLevel="0" collapsed="false">
      <c r="A9" s="7" t="n">
        <v>4</v>
      </c>
      <c r="B9" s="8" t="n">
        <v>46303</v>
      </c>
      <c r="C9" s="7"/>
      <c r="D9" s="7"/>
      <c r="E9" s="7"/>
      <c r="F9" s="7"/>
      <c r="G9" s="7"/>
      <c r="H9" s="7"/>
      <c r="I9" s="22"/>
      <c r="J9" s="22"/>
    </row>
    <row r="10" customFormat="false" ht="15" hidden="false" customHeight="true" outlineLevel="0" collapsed="false">
      <c r="A10" s="7" t="n">
        <v>5</v>
      </c>
      <c r="B10" s="8" t="n">
        <v>46304</v>
      </c>
      <c r="C10" s="7"/>
      <c r="D10" s="7"/>
      <c r="E10" s="7"/>
      <c r="F10" s="7"/>
      <c r="G10" s="7"/>
      <c r="H10" s="7"/>
      <c r="I10" s="22"/>
      <c r="J10" s="22"/>
    </row>
    <row r="11" customFormat="false" ht="15" hidden="false" customHeight="true" outlineLevel="0" collapsed="false">
      <c r="A11" s="7" t="n">
        <v>6</v>
      </c>
      <c r="B11" s="8" t="n">
        <v>46307</v>
      </c>
      <c r="C11" s="7"/>
      <c r="D11" s="7"/>
      <c r="E11" s="7"/>
      <c r="F11" s="7"/>
      <c r="G11" s="7"/>
      <c r="H11" s="7"/>
      <c r="I11" s="22"/>
      <c r="J11" s="22"/>
    </row>
    <row r="12" customFormat="false" ht="15" hidden="false" customHeight="true" outlineLevel="0" collapsed="false">
      <c r="A12" s="7" t="n">
        <v>7</v>
      </c>
      <c r="B12" s="8" t="n">
        <v>46308</v>
      </c>
      <c r="C12" s="7"/>
      <c r="D12" s="7"/>
      <c r="E12" s="7"/>
      <c r="F12" s="7"/>
      <c r="G12" s="7"/>
      <c r="H12" s="7"/>
      <c r="I12" s="22"/>
      <c r="J12" s="22"/>
    </row>
    <row r="13" customFormat="false" ht="15" hidden="false" customHeight="true" outlineLevel="0" collapsed="false">
      <c r="A13" s="7" t="n">
        <v>8</v>
      </c>
      <c r="B13" s="8" t="n">
        <v>46309</v>
      </c>
      <c r="C13" s="7"/>
      <c r="D13" s="7"/>
      <c r="E13" s="7"/>
      <c r="F13" s="7"/>
      <c r="G13" s="7"/>
      <c r="H13" s="7"/>
      <c r="I13" s="22"/>
      <c r="J13" s="22"/>
    </row>
    <row r="14" customFormat="false" ht="15" hidden="false" customHeight="true" outlineLevel="0" collapsed="false">
      <c r="A14" s="7" t="n">
        <v>9</v>
      </c>
      <c r="B14" s="8" t="n">
        <v>46310</v>
      </c>
      <c r="C14" s="7"/>
      <c r="D14" s="7"/>
      <c r="E14" s="7"/>
      <c r="F14" s="7"/>
      <c r="G14" s="7"/>
      <c r="H14" s="7"/>
      <c r="I14" s="22"/>
      <c r="J14" s="22"/>
    </row>
    <row r="15" customFormat="false" ht="15" hidden="false" customHeight="true" outlineLevel="0" collapsed="false">
      <c r="A15" s="7" t="n">
        <v>10</v>
      </c>
      <c r="B15" s="8" t="n">
        <v>46311</v>
      </c>
      <c r="C15" s="7"/>
      <c r="D15" s="7"/>
      <c r="E15" s="7"/>
      <c r="F15" s="7"/>
      <c r="G15" s="7"/>
      <c r="H15" s="7"/>
      <c r="I15" s="22"/>
      <c r="J15" s="22"/>
    </row>
    <row r="16" customFormat="false" ht="15" hidden="false" customHeight="true" outlineLevel="0" collapsed="false">
      <c r="A16" s="7" t="n">
        <v>11</v>
      </c>
      <c r="B16" s="8" t="n">
        <v>46315</v>
      </c>
      <c r="C16" s="7"/>
      <c r="D16" s="7"/>
      <c r="E16" s="7"/>
      <c r="F16" s="7"/>
      <c r="G16" s="7"/>
      <c r="H16" s="7"/>
      <c r="I16" s="22"/>
      <c r="J16" s="22"/>
    </row>
    <row r="17" customFormat="false" ht="15" hidden="false" customHeight="true" outlineLevel="0" collapsed="false">
      <c r="A17" s="7" t="n">
        <v>12</v>
      </c>
      <c r="B17" s="8" t="n">
        <v>46316</v>
      </c>
      <c r="C17" s="7"/>
      <c r="D17" s="7"/>
      <c r="E17" s="7"/>
      <c r="F17" s="7"/>
      <c r="G17" s="7"/>
      <c r="H17" s="7"/>
      <c r="I17" s="22"/>
      <c r="J17" s="22"/>
    </row>
    <row r="18" customFormat="false" ht="15" hidden="false" customHeight="true" outlineLevel="0" collapsed="false">
      <c r="A18" s="7" t="n">
        <v>13</v>
      </c>
      <c r="B18" s="8" t="n">
        <v>46317</v>
      </c>
      <c r="C18" s="7"/>
      <c r="D18" s="7"/>
      <c r="E18" s="7"/>
      <c r="F18" s="7"/>
      <c r="G18" s="7"/>
      <c r="H18" s="7"/>
      <c r="I18" s="22"/>
      <c r="J18" s="22"/>
    </row>
    <row r="19" customFormat="false" ht="15" hidden="false" customHeight="true" outlineLevel="0" collapsed="false">
      <c r="A19" s="7" t="n">
        <v>14</v>
      </c>
      <c r="B19" s="8" t="n">
        <v>46318</v>
      </c>
      <c r="C19" s="7"/>
      <c r="D19" s="7"/>
      <c r="E19" s="7"/>
      <c r="F19" s="7"/>
      <c r="G19" s="7"/>
      <c r="H19" s="7"/>
      <c r="I19" s="22"/>
      <c r="J19" s="22"/>
    </row>
    <row r="20" customFormat="false" ht="15" hidden="false" customHeight="true" outlineLevel="0" collapsed="false">
      <c r="A20" s="23" t="s">
        <v>223</v>
      </c>
      <c r="C20" s="23" t="n">
        <f aca="false">SUM(C5:C19)</f>
        <v>0</v>
      </c>
      <c r="D20" s="23" t="n">
        <f aca="false">SUM(D5:D19)</f>
        <v>0</v>
      </c>
      <c r="E20" s="23" t="n">
        <f aca="false">SUM(E5:E19)</f>
        <v>0</v>
      </c>
      <c r="F20" s="23" t="n">
        <f aca="false">SUM(F5:F19)</f>
        <v>0</v>
      </c>
      <c r="G20" s="23" t="n">
        <f aca="false">SUM(G5:G19)</f>
        <v>0</v>
      </c>
      <c r="H20" s="23" t="n">
        <f aca="false">SUM(H5:H19)</f>
        <v>0</v>
      </c>
      <c r="I20" s="24" t="n">
        <f aca="false">SUM(I5:I19)</f>
        <v>0</v>
      </c>
      <c r="J20" s="24" t="n">
        <f aca="false">SUM(J5:J19)</f>
        <v>0</v>
      </c>
    </row>
    <row r="21" customFormat="false" ht="15" hidden="false" customHeight="true" outlineLevel="0" collapsed="false">
      <c r="A21" s="23" t="s">
        <v>224</v>
      </c>
      <c r="C21" s="1" t="n">
        <v>135</v>
      </c>
      <c r="D21" s="1" t="n">
        <v>65</v>
      </c>
      <c r="E21" s="1" t="n">
        <v>105</v>
      </c>
      <c r="F21" s="1" t="n">
        <v>45</v>
      </c>
      <c r="G21" s="1" t="n">
        <v>20</v>
      </c>
      <c r="H21" s="1" t="n">
        <v>10</v>
      </c>
      <c r="I21" s="25" t="n">
        <v>40</v>
      </c>
      <c r="J21" s="25" t="n">
        <v>5</v>
      </c>
    </row>
    <row r="22" customFormat="false" ht="15" hidden="false" customHeight="true" outlineLevel="0" collapsed="false">
      <c r="A22" s="23" t="s">
        <v>225</v>
      </c>
      <c r="C22" s="26" t="n">
        <f aca="false">C21-C20</f>
        <v>135</v>
      </c>
      <c r="D22" s="26" t="n">
        <f aca="false">D21-D20</f>
        <v>65</v>
      </c>
      <c r="E22" s="26" t="n">
        <f aca="false">E21-E20</f>
        <v>105</v>
      </c>
      <c r="F22" s="26" t="n">
        <f aca="false">F21-F20</f>
        <v>45</v>
      </c>
      <c r="G22" s="26" t="n">
        <f aca="false">G21-G20</f>
        <v>20</v>
      </c>
      <c r="H22" s="26" t="n">
        <f aca="false">H21-H20</f>
        <v>10</v>
      </c>
      <c r="I22" s="26" t="n">
        <f aca="false">I21-I20</f>
        <v>40</v>
      </c>
      <c r="J22" s="26" t="n">
        <f aca="false">J21-J20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2026-09-29T12:29:48Z</dcterms:created>
  <dc:creator>openpyxl</dc:creator>
  <dc:description/>
  <dc:language>en-US</dc:language>
  <cp:lastModifiedBy/>
  <dcterms:modified xsi:type="dcterms:W3CDTF">2026-09-29T17:21:20Z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
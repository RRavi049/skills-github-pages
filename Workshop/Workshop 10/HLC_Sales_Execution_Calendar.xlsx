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\Consulting\HLC\Workshop\Workshop 10\"/>
    </mc:Choice>
  </mc:AlternateContent>
  <xr:revisionPtr revIDLastSave="0" documentId="11_E0AF9C2632DD5C45D1761253BF5C1F61061DECEA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ster Plan" sheetId="1" r:id="rId1"/>
    <sheet name="Milestones" sheetId="2" r:id="rId2"/>
    <sheet name="Daily Score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3" l="1"/>
  <c r="H22" i="3" s="1"/>
  <c r="G20" i="3"/>
  <c r="G22" i="3" s="1"/>
  <c r="F20" i="3"/>
  <c r="F22" i="3" s="1"/>
  <c r="E20" i="3"/>
  <c r="E22" i="3" s="1"/>
  <c r="D20" i="3"/>
  <c r="D22" i="3" s="1"/>
  <c r="C20" i="3"/>
  <c r="C22" i="3" s="1"/>
</calcChain>
</file>

<file path=xl/sharedStrings.xml><?xml version="1.0" encoding="utf-8"?>
<sst xmlns="http://schemas.openxmlformats.org/spreadsheetml/2006/main" count="269" uniqueCount="179">
  <si>
    <t>HLC Sales Execution Calendar — 1 to 23 October 2026</t>
  </si>
  <si>
    <t>Day 0 = Thu 1 Oct (Niharika joins). Weekends and holidays (2 Oct, 19 Oct) are non-working. 12 working days to Vijayadasami. Targets: 20 KG + 10 Grade 1 seats from 200 leads.</t>
  </si>
  <si>
    <t>Workstream</t>
  </si>
  <si>
    <t>ID</t>
  </si>
  <si>
    <t>Activity</t>
  </si>
  <si>
    <t>Owner</t>
  </si>
  <si>
    <t>Start day</t>
  </si>
  <si>
    <t>Start date</t>
  </si>
  <si>
    <t>Due day</t>
  </si>
  <si>
    <t>Due date</t>
  </si>
  <si>
    <t>Output</t>
  </si>
  <si>
    <t>Milestone</t>
  </si>
  <si>
    <t>Status</t>
  </si>
  <si>
    <t>0 Orientation</t>
  </si>
  <si>
    <t>O1</t>
  </si>
  <si>
    <t>Self-enablement plan — see HLC_Growth_Leader_Orientation.xlsx</t>
  </si>
  <si>
    <t>Niharika</t>
  </si>
  <si>
    <t>Orientation pack</t>
  </si>
  <si>
    <t>★ M0</t>
  </si>
  <si>
    <t>Not started</t>
  </si>
  <si>
    <t>1 Foundation</t>
  </si>
  <si>
    <t>F1</t>
  </si>
  <si>
    <t>Thank-you note to every family, with alumni proof points</t>
  </si>
  <si>
    <t>Founders + Niharika</t>
  </si>
  <si>
    <t>Sent to all families</t>
  </si>
  <si>
    <t>★ M1</t>
  </si>
  <si>
    <t>F2</t>
  </si>
  <si>
    <t>Website live: seat counts, one-field enquiry form, Vidyarambham invite</t>
  </si>
  <si>
    <t>Niharika + web vendor</t>
  </si>
  <si>
    <t>Live page</t>
  </si>
  <si>
    <t>★ M2</t>
  </si>
  <si>
    <t>F3</t>
  </si>
  <si>
    <t>Enquiry tracker and daily scorecard set up (Google Sheet)</t>
  </si>
  <si>
    <t>Tracker live</t>
  </si>
  <si>
    <t>F4</t>
  </si>
  <si>
    <t>HLC Discover quick wins: signage, KG toilet tour-ready, Circle of Three tops and badges, photo wall</t>
  </si>
  <si>
    <t>KG coordinator</t>
  </si>
  <si>
    <t>Campus tour-ready</t>
  </si>
  <si>
    <t>★ M4</t>
  </si>
  <si>
    <t>F5</t>
  </si>
  <si>
    <t>Google Business listing: HLC Discover — the early years of HLC International</t>
  </si>
  <si>
    <t>Listing live</t>
  </si>
  <si>
    <t>F6</t>
  </si>
  <si>
    <t>Hire three field staff for one month: two outreach, one logistics</t>
  </si>
  <si>
    <t>Founders</t>
  </si>
  <si>
    <t>Staff in place</t>
  </si>
  <si>
    <t>2 Warm list</t>
  </si>
  <si>
    <t>W1</t>
  </si>
  <si>
    <t>Build the returning-families list (≈85), checked against admissions records</t>
  </si>
  <si>
    <t>Niharika + admissions</t>
  </si>
  <si>
    <t>Clean call list</t>
  </si>
  <si>
    <t>W2</t>
  </si>
  <si>
    <t>Call returning families with the early-bird offer — 15 a day</t>
  </si>
  <si>
    <t>All ≈85 contacted</t>
  </si>
  <si>
    <t>★ M5</t>
  </si>
  <si>
    <t>W3</t>
  </si>
  <si>
    <t>Founders call current families with a younger child, and alumni families</t>
  </si>
  <si>
    <t>All called</t>
  </si>
  <si>
    <t>3 Community</t>
  </si>
  <si>
    <t>C1</t>
  </si>
  <si>
    <t>Recruit one parent ambassador in each of the six hotspot communities</t>
  </si>
  <si>
    <t>Niharika + founders</t>
  </si>
  <si>
    <t>6 ambassadors</t>
  </si>
  <si>
    <t>★ M3</t>
  </si>
  <si>
    <t>C2</t>
  </si>
  <si>
    <t>Golu invitations: 20–30 crafted with gift; e-invite design for all</t>
  </si>
  <si>
    <t>Logistics staff</t>
  </si>
  <si>
    <t>Invites ready</t>
  </si>
  <si>
    <t>C4</t>
  </si>
  <si>
    <t>A3 posters in communities, with association permission</t>
  </si>
  <si>
    <t>Outreach staff</t>
  </si>
  <si>
    <t>Posters up</t>
  </si>
  <si>
    <t>C3</t>
  </si>
  <si>
    <t>Distribute invitations; e-invites shared by every family</t>
  </si>
  <si>
    <t>Ambassadors + staff</t>
  </si>
  <si>
    <t>Invites out</t>
  </si>
  <si>
    <t>C5</t>
  </si>
  <si>
    <t>Navaratri play corner in hotspot communities (weekday dates; weekend only with founder approval)</t>
  </si>
  <si>
    <t>Niharika + ambassadors</t>
  </si>
  <si>
    <t>2–3 corners run</t>
  </si>
  <si>
    <t>C6</t>
  </si>
  <si>
    <t>HLC golu on campus for the neighbourhood</t>
  </si>
  <si>
    <t>KG team</t>
  </si>
  <si>
    <t>Golu held</t>
  </si>
  <si>
    <t>4 Grade 1</t>
  </si>
  <si>
    <t>G1</t>
  </si>
  <si>
    <t>"Ready for Real School" one-page checklist for UKG parents</t>
  </si>
  <si>
    <t>Niharika + Grade 1 teacher</t>
  </si>
  <si>
    <t>PDF ready</t>
  </si>
  <si>
    <t>G4</t>
  </si>
  <si>
    <t>Search ads: "Grade 1 admission near me", 5 km</t>
  </si>
  <si>
    <t>Ads live</t>
  </si>
  <si>
    <t>G2</t>
  </si>
  <si>
    <t>Share the checklist through community WhatsApp groups and ambassadors</t>
  </si>
  <si>
    <t>Ambassadors</t>
  </si>
  <si>
    <t>Shared widely</t>
  </si>
  <si>
    <t>G3</t>
  </si>
  <si>
    <t>"Ready for Real School" weekday session, 3:30–5 pm, open to any UKG child</t>
  </si>
  <si>
    <t>Grade 1 team</t>
  </si>
  <si>
    <t>Two sessions held</t>
  </si>
  <si>
    <t>★ M6</t>
  </si>
  <si>
    <t>5 Feeders</t>
  </si>
  <si>
    <t>P1</t>
  </si>
  <si>
    <t>List preschools within 5 km; invite their UKG parents to Ready for Real School</t>
  </si>
  <si>
    <t>List ready</t>
  </si>
  <si>
    <t>P2</t>
  </si>
  <si>
    <t>Founder visits to preschools, two a day; disclosed partnership where agreed</t>
  </si>
  <si>
    <t>Visits done</t>
  </si>
  <si>
    <t>6 Digital</t>
  </si>
  <si>
    <t>D1</t>
  </si>
  <si>
    <t>WhatsApp status calendar — rotate campaign clips daily</t>
  </si>
  <si>
    <t>Daily posts</t>
  </si>
  <si>
    <t>D2</t>
  </si>
  <si>
    <t>Geo-targeted Instagram and Meta ads, 5 km</t>
  </si>
  <si>
    <t>7 Event</t>
  </si>
  <si>
    <t>E1</t>
  </si>
  <si>
    <t>Vidyarambham and open morning: three slots, tent, booking desks, early-bird</t>
  </si>
  <si>
    <t>Founders + KG team</t>
  </si>
  <si>
    <t>Event ready</t>
  </si>
  <si>
    <t>E2</t>
  </si>
  <si>
    <t>Registrations confirmed and reminders sent</t>
  </si>
  <si>
    <t>Final list</t>
  </si>
  <si>
    <t>★ M7</t>
  </si>
  <si>
    <t>E3</t>
  </si>
  <si>
    <t>★ Vijayadasami: Vidyarambham, golu, open morning, three slots</t>
  </si>
  <si>
    <t>All</t>
  </si>
  <si>
    <t>Admissions booked</t>
  </si>
  <si>
    <t>★ M8</t>
  </si>
  <si>
    <t>E4</t>
  </si>
  <si>
    <t>Follow up every undecided family personally</t>
  </si>
  <si>
    <t>Closures</t>
  </si>
  <si>
    <t>8 Review</t>
  </si>
  <si>
    <t>R1</t>
  </si>
  <si>
    <t>Daily scorecard, updated every evening</t>
  </si>
  <si>
    <t>Scorecard</t>
  </si>
  <si>
    <t>R2</t>
  </si>
  <si>
    <t>Checkpoint: KG enquiries ≥ 50 and Grade 1 ≥ 25, else add a community event and the mall activation</t>
  </si>
  <si>
    <t>Go / adjust</t>
  </si>
  <si>
    <t>★ Checkpoint</t>
  </si>
  <si>
    <t>R3</t>
  </si>
  <si>
    <t>Weekly review with founders</t>
  </si>
  <si>
    <t>Review notes</t>
  </si>
  <si>
    <t>Quick wins and milestones</t>
  </si>
  <si>
    <t>Each is a date the founders can check.</t>
  </si>
  <si>
    <t>Day</t>
  </si>
  <si>
    <t>Date</t>
  </si>
  <si>
    <t>What</t>
  </si>
  <si>
    <t>Measure</t>
  </si>
  <si>
    <t>Done?</t>
  </si>
  <si>
    <t>Orientation pack started</t>
  </si>
  <si>
    <t>Deliverables in the orientation workbook</t>
  </si>
  <si>
    <t>Thank-you note sent to every family</t>
  </si>
  <si>
    <t>100% of families</t>
  </si>
  <si>
    <t>Website live with seat counts and form</t>
  </si>
  <si>
    <t>Live</t>
  </si>
  <si>
    <t>Six hotspot ambassadors in place</t>
  </si>
  <si>
    <t>6</t>
  </si>
  <si>
    <t>KG ≥ 50 and Grade 1 ≥ 25 enquiries</t>
  </si>
  <si>
    <t>Campus tour-ready as HLC Discover</t>
  </si>
  <si>
    <t>Signage, toilet, tops, photo wall</t>
  </si>
  <si>
    <t>All ≈85 returning families contacted</t>
  </si>
  <si>
    <t>85</t>
  </si>
  <si>
    <t>Two Ready for Real School sessions held</t>
  </si>
  <si>
    <t>2</t>
  </si>
  <si>
    <t>Vidyarambham registrations confirmed</t>
  </si>
  <si>
    <t>Target 100 families</t>
  </si>
  <si>
    <t>Vijayadasami: 20 KG + 10 Grade 1 booked or in final follow-up</t>
  </si>
  <si>
    <t>30 seats</t>
  </si>
  <si>
    <t>Daily scorecard</t>
  </si>
  <si>
    <t>Enter each evening. Totals and gaps calculate automatically.</t>
  </si>
  <si>
    <t>KG enquiries</t>
  </si>
  <si>
    <t>Grade 1 enquiries</t>
  </si>
  <si>
    <t>Visits</t>
  </si>
  <si>
    <t>Applications</t>
  </si>
  <si>
    <t>KG seats</t>
  </si>
  <si>
    <t>Grade 1 seats</t>
  </si>
  <si>
    <t>Total</t>
  </si>
  <si>
    <t>Target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</si>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</sst>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\ mmm"/>
  </numFmts>
  <fonts count="9" x14ac:knownFonts="1">
    <font>
      <sz val="11"/>
      <color theme="1"/>
      <name val="Calibri"/>
      <family val="2"/>
      <charset val="1"/>
    </font>
    <font>
      <b/>
      <sz val="15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4E79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11"/>
      <name val="Arial"/>
      <charset val="1"/>
    </font>
    <font>
      <b/>
      <sz val="11"/>
      <color rgb="FF9C2B2B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2B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showGridLines="0" tabSelected="1" zoomScaleNormal="100" workbookViewId="0">
      <pane ySplit="4" topLeftCell="A6" activePane="bottomLeft" state="frozen"/>
      <selection pane="bottomLeft" activeCell="C11" sqref="C11"/>
    </sheetView>
  </sheetViews>
  <sheetFormatPr defaultColWidth="8.6640625" defaultRowHeight="14.4" x14ac:dyDescent="0.3"/>
  <cols>
    <col min="1" max="1" width="16" customWidth="1"/>
    <col min="2" max="2" width="5" customWidth="1"/>
    <col min="3" max="3" width="58" customWidth="1"/>
    <col min="4" max="4" width="20" customWidth="1"/>
    <col min="5" max="5" width="7" customWidth="1"/>
    <col min="6" max="6" width="11" customWidth="1"/>
    <col min="7" max="7" width="7" customWidth="1"/>
    <col min="8" max="8" width="11" customWidth="1"/>
    <col min="9" max="9" width="18" customWidth="1"/>
    <col min="10" max="11" width="12" customWidth="1"/>
  </cols>
  <sheetData>
    <row r="1" spans="1:11" ht="19.2" x14ac:dyDescent="0.35">
      <c r="A1" s="1" t="s">
        <v>0</v>
      </c>
    </row>
    <row r="2" spans="1:11" x14ac:dyDescent="0.3">
      <c r="A2" s="2" t="s">
        <v>1</v>
      </c>
    </row>
    <row r="4" spans="1:11" ht="26.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6" t="s">
        <v>13</v>
      </c>
      <c r="B6" s="6" t="s">
        <v>14</v>
      </c>
      <c r="C6" s="6" t="s">
        <v>15</v>
      </c>
      <c r="D6" s="6" t="s">
        <v>16</v>
      </c>
      <c r="E6" s="6">
        <v>0</v>
      </c>
      <c r="F6" s="7">
        <v>46296</v>
      </c>
      <c r="G6" s="6">
        <v>5</v>
      </c>
      <c r="H6" s="7">
        <v>46304</v>
      </c>
      <c r="I6" s="6" t="s">
        <v>17</v>
      </c>
      <c r="J6" s="8" t="s">
        <v>18</v>
      </c>
      <c r="K6" s="6" t="s">
        <v>19</v>
      </c>
    </row>
    <row r="7" spans="1:11" x14ac:dyDescent="0.3">
      <c r="A7" s="4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6" t="s">
        <v>20</v>
      </c>
      <c r="B8" s="6" t="s">
        <v>21</v>
      </c>
      <c r="C8" s="6" t="s">
        <v>22</v>
      </c>
      <c r="D8" s="6" t="s">
        <v>23</v>
      </c>
      <c r="E8" s="6">
        <v>0</v>
      </c>
      <c r="F8" s="7">
        <v>46296</v>
      </c>
      <c r="G8" s="6">
        <v>1</v>
      </c>
      <c r="H8" s="7">
        <v>46300</v>
      </c>
      <c r="I8" s="6" t="s">
        <v>24</v>
      </c>
      <c r="J8" s="8" t="s">
        <v>25</v>
      </c>
      <c r="K8" s="6" t="s">
        <v>19</v>
      </c>
    </row>
    <row r="9" spans="1:11" x14ac:dyDescent="0.3">
      <c r="A9" s="6" t="s">
        <v>20</v>
      </c>
      <c r="B9" s="6" t="s">
        <v>26</v>
      </c>
      <c r="C9" s="6" t="s">
        <v>27</v>
      </c>
      <c r="D9" s="6" t="s">
        <v>28</v>
      </c>
      <c r="E9" s="6">
        <v>0</v>
      </c>
      <c r="F9" s="7">
        <v>46296</v>
      </c>
      <c r="G9" s="6">
        <v>2</v>
      </c>
      <c r="H9" s="7">
        <v>46301</v>
      </c>
      <c r="I9" s="6" t="s">
        <v>29</v>
      </c>
      <c r="J9" s="8" t="s">
        <v>30</v>
      </c>
      <c r="K9" s="6" t="s">
        <v>19</v>
      </c>
    </row>
    <row r="10" spans="1:11" x14ac:dyDescent="0.3">
      <c r="A10" s="6" t="s">
        <v>20</v>
      </c>
      <c r="B10" s="6" t="s">
        <v>31</v>
      </c>
      <c r="C10" s="6" t="s">
        <v>32</v>
      </c>
      <c r="D10" s="6" t="s">
        <v>16</v>
      </c>
      <c r="E10" s="6">
        <v>0</v>
      </c>
      <c r="F10" s="7">
        <v>46296</v>
      </c>
      <c r="G10" s="6">
        <v>1</v>
      </c>
      <c r="H10" s="7">
        <v>46300</v>
      </c>
      <c r="I10" s="6" t="s">
        <v>33</v>
      </c>
      <c r="J10" s="6"/>
      <c r="K10" s="6" t="s">
        <v>19</v>
      </c>
    </row>
    <row r="11" spans="1:11" ht="24" x14ac:dyDescent="0.3">
      <c r="A11" s="6" t="s">
        <v>20</v>
      </c>
      <c r="B11" s="6" t="s">
        <v>34</v>
      </c>
      <c r="C11" s="6" t="s">
        <v>35</v>
      </c>
      <c r="D11" s="6" t="s">
        <v>36</v>
      </c>
      <c r="E11" s="6">
        <v>1</v>
      </c>
      <c r="F11" s="7">
        <v>46300</v>
      </c>
      <c r="G11" s="6">
        <v>5</v>
      </c>
      <c r="H11" s="7">
        <v>46304</v>
      </c>
      <c r="I11" s="6" t="s">
        <v>37</v>
      </c>
      <c r="J11" s="8" t="s">
        <v>38</v>
      </c>
      <c r="K11" s="6" t="s">
        <v>19</v>
      </c>
    </row>
    <row r="12" spans="1:11" ht="24" x14ac:dyDescent="0.3">
      <c r="A12" s="6" t="s">
        <v>20</v>
      </c>
      <c r="B12" s="6" t="s">
        <v>39</v>
      </c>
      <c r="C12" s="6" t="s">
        <v>40</v>
      </c>
      <c r="D12" s="6" t="s">
        <v>16</v>
      </c>
      <c r="E12" s="6">
        <v>1</v>
      </c>
      <c r="F12" s="7">
        <v>46300</v>
      </c>
      <c r="G12" s="6">
        <v>3</v>
      </c>
      <c r="H12" s="7">
        <v>46302</v>
      </c>
      <c r="I12" s="6" t="s">
        <v>41</v>
      </c>
      <c r="J12" s="6"/>
      <c r="K12" s="6" t="s">
        <v>19</v>
      </c>
    </row>
    <row r="13" spans="1:11" x14ac:dyDescent="0.3">
      <c r="A13" s="6" t="s">
        <v>20</v>
      </c>
      <c r="B13" s="6" t="s">
        <v>42</v>
      </c>
      <c r="C13" s="6" t="s">
        <v>43</v>
      </c>
      <c r="D13" s="6" t="s">
        <v>44</v>
      </c>
      <c r="E13" s="6">
        <v>1</v>
      </c>
      <c r="F13" s="7">
        <v>46300</v>
      </c>
      <c r="G13" s="6">
        <v>4</v>
      </c>
      <c r="H13" s="7">
        <v>46303</v>
      </c>
      <c r="I13" s="6" t="s">
        <v>45</v>
      </c>
      <c r="J13" s="6"/>
      <c r="K13" s="6" t="s">
        <v>19</v>
      </c>
    </row>
    <row r="14" spans="1:11" x14ac:dyDescent="0.3">
      <c r="A14" s="4" t="s">
        <v>46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24" x14ac:dyDescent="0.3">
      <c r="A15" s="6" t="s">
        <v>46</v>
      </c>
      <c r="B15" s="6" t="s">
        <v>47</v>
      </c>
      <c r="C15" s="6" t="s">
        <v>48</v>
      </c>
      <c r="D15" s="6" t="s">
        <v>49</v>
      </c>
      <c r="E15" s="6">
        <v>0</v>
      </c>
      <c r="F15" s="7">
        <v>46296</v>
      </c>
      <c r="G15" s="6">
        <v>1</v>
      </c>
      <c r="H15" s="7">
        <v>46300</v>
      </c>
      <c r="I15" s="6" t="s">
        <v>50</v>
      </c>
      <c r="J15" s="6"/>
      <c r="K15" s="6" t="s">
        <v>19</v>
      </c>
    </row>
    <row r="16" spans="1:11" x14ac:dyDescent="0.3">
      <c r="A16" s="6" t="s">
        <v>46</v>
      </c>
      <c r="B16" s="6" t="s">
        <v>51</v>
      </c>
      <c r="C16" s="6" t="s">
        <v>52</v>
      </c>
      <c r="D16" s="6" t="s">
        <v>16</v>
      </c>
      <c r="E16" s="6">
        <v>1</v>
      </c>
      <c r="F16" s="7">
        <v>46300</v>
      </c>
      <c r="G16" s="6">
        <v>6</v>
      </c>
      <c r="H16" s="7">
        <v>46307</v>
      </c>
      <c r="I16" s="6" t="s">
        <v>53</v>
      </c>
      <c r="J16" s="8" t="s">
        <v>54</v>
      </c>
      <c r="K16" s="6" t="s">
        <v>19</v>
      </c>
    </row>
    <row r="17" spans="1:11" x14ac:dyDescent="0.3">
      <c r="A17" s="6" t="s">
        <v>46</v>
      </c>
      <c r="B17" s="6" t="s">
        <v>55</v>
      </c>
      <c r="C17" s="6" t="s">
        <v>56</v>
      </c>
      <c r="D17" s="6" t="s">
        <v>44</v>
      </c>
      <c r="E17" s="6">
        <v>1</v>
      </c>
      <c r="F17" s="7">
        <v>46300</v>
      </c>
      <c r="G17" s="6">
        <v>8</v>
      </c>
      <c r="H17" s="7">
        <v>46309</v>
      </c>
      <c r="I17" s="6" t="s">
        <v>57</v>
      </c>
      <c r="J17" s="6"/>
      <c r="K17" s="6" t="s">
        <v>19</v>
      </c>
    </row>
    <row r="18" spans="1:11" x14ac:dyDescent="0.3">
      <c r="A18" s="4" t="s">
        <v>58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">
      <c r="A19" s="6" t="s">
        <v>58</v>
      </c>
      <c r="B19" s="6" t="s">
        <v>59</v>
      </c>
      <c r="C19" s="6" t="s">
        <v>60</v>
      </c>
      <c r="D19" s="6" t="s">
        <v>61</v>
      </c>
      <c r="E19" s="6">
        <v>1</v>
      </c>
      <c r="F19" s="7">
        <v>46300</v>
      </c>
      <c r="G19" s="6">
        <v>4</v>
      </c>
      <c r="H19" s="7">
        <v>46303</v>
      </c>
      <c r="I19" s="6" t="s">
        <v>62</v>
      </c>
      <c r="J19" s="8" t="s">
        <v>63</v>
      </c>
      <c r="K19" s="6" t="s">
        <v>19</v>
      </c>
    </row>
    <row r="20" spans="1:11" x14ac:dyDescent="0.3">
      <c r="A20" s="6" t="s">
        <v>58</v>
      </c>
      <c r="B20" s="6" t="s">
        <v>64</v>
      </c>
      <c r="C20" s="6" t="s">
        <v>65</v>
      </c>
      <c r="D20" s="6" t="s">
        <v>66</v>
      </c>
      <c r="E20" s="6">
        <v>2</v>
      </c>
      <c r="F20" s="7">
        <v>46301</v>
      </c>
      <c r="G20" s="6">
        <v>5</v>
      </c>
      <c r="H20" s="7">
        <v>46304</v>
      </c>
      <c r="I20" s="6" t="s">
        <v>67</v>
      </c>
      <c r="J20" s="6"/>
      <c r="K20" s="6" t="s">
        <v>19</v>
      </c>
    </row>
    <row r="21" spans="1:11" x14ac:dyDescent="0.3">
      <c r="A21" s="6" t="s">
        <v>58</v>
      </c>
      <c r="B21" s="6" t="s">
        <v>68</v>
      </c>
      <c r="C21" s="6" t="s">
        <v>69</v>
      </c>
      <c r="D21" s="6" t="s">
        <v>70</v>
      </c>
      <c r="E21" s="6">
        <v>3</v>
      </c>
      <c r="F21" s="7">
        <v>46302</v>
      </c>
      <c r="G21" s="6">
        <v>7</v>
      </c>
      <c r="H21" s="7">
        <v>46308</v>
      </c>
      <c r="I21" s="6" t="s">
        <v>71</v>
      </c>
      <c r="J21" s="6"/>
      <c r="K21" s="6" t="s">
        <v>19</v>
      </c>
    </row>
    <row r="22" spans="1:11" x14ac:dyDescent="0.3">
      <c r="A22" s="6" t="s">
        <v>58</v>
      </c>
      <c r="B22" s="6" t="s">
        <v>72</v>
      </c>
      <c r="C22" s="6" t="s">
        <v>73</v>
      </c>
      <c r="D22" s="6" t="s">
        <v>74</v>
      </c>
      <c r="E22" s="6">
        <v>5</v>
      </c>
      <c r="F22" s="7">
        <v>46304</v>
      </c>
      <c r="G22" s="6">
        <v>8</v>
      </c>
      <c r="H22" s="7">
        <v>46309</v>
      </c>
      <c r="I22" s="6" t="s">
        <v>75</v>
      </c>
      <c r="J22" s="6"/>
      <c r="K22" s="6" t="s">
        <v>19</v>
      </c>
    </row>
    <row r="23" spans="1:11" ht="24" x14ac:dyDescent="0.3">
      <c r="A23" s="6" t="s">
        <v>58</v>
      </c>
      <c r="B23" s="6" t="s">
        <v>76</v>
      </c>
      <c r="C23" s="6" t="s">
        <v>77</v>
      </c>
      <c r="D23" s="6" t="s">
        <v>78</v>
      </c>
      <c r="E23" s="6">
        <v>6</v>
      </c>
      <c r="F23" s="7">
        <v>46307</v>
      </c>
      <c r="G23" s="6">
        <v>10</v>
      </c>
      <c r="H23" s="7">
        <v>46311</v>
      </c>
      <c r="I23" s="6" t="s">
        <v>79</v>
      </c>
      <c r="J23" s="6"/>
      <c r="K23" s="6" t="s">
        <v>19</v>
      </c>
    </row>
    <row r="24" spans="1:11" x14ac:dyDescent="0.3">
      <c r="A24" s="6" t="s">
        <v>58</v>
      </c>
      <c r="B24" s="6" t="s">
        <v>80</v>
      </c>
      <c r="C24" s="6" t="s">
        <v>81</v>
      </c>
      <c r="D24" s="6" t="s">
        <v>82</v>
      </c>
      <c r="E24" s="6">
        <v>8</v>
      </c>
      <c r="F24" s="7">
        <v>46309</v>
      </c>
      <c r="G24" s="6">
        <v>8</v>
      </c>
      <c r="H24" s="7">
        <v>46309</v>
      </c>
      <c r="I24" s="6" t="s">
        <v>83</v>
      </c>
      <c r="J24" s="6"/>
      <c r="K24" s="6" t="s">
        <v>19</v>
      </c>
    </row>
    <row r="25" spans="1:11" x14ac:dyDescent="0.3">
      <c r="A25" s="4" t="s">
        <v>84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24" x14ac:dyDescent="0.3">
      <c r="A26" s="6" t="s">
        <v>84</v>
      </c>
      <c r="B26" s="6" t="s">
        <v>85</v>
      </c>
      <c r="C26" s="6" t="s">
        <v>86</v>
      </c>
      <c r="D26" s="6" t="s">
        <v>87</v>
      </c>
      <c r="E26" s="6">
        <v>2</v>
      </c>
      <c r="F26" s="7">
        <v>46301</v>
      </c>
      <c r="G26" s="6">
        <v>4</v>
      </c>
      <c r="H26" s="7">
        <v>46303</v>
      </c>
      <c r="I26" s="6" t="s">
        <v>88</v>
      </c>
      <c r="J26" s="6"/>
      <c r="K26" s="6" t="s">
        <v>19</v>
      </c>
    </row>
    <row r="27" spans="1:11" x14ac:dyDescent="0.3">
      <c r="A27" s="6" t="s">
        <v>84</v>
      </c>
      <c r="B27" s="6" t="s">
        <v>89</v>
      </c>
      <c r="C27" s="6" t="s">
        <v>90</v>
      </c>
      <c r="D27" s="6" t="s">
        <v>16</v>
      </c>
      <c r="E27" s="6">
        <v>3</v>
      </c>
      <c r="F27" s="7">
        <v>46302</v>
      </c>
      <c r="G27" s="6">
        <v>11</v>
      </c>
      <c r="H27" s="7">
        <v>46315</v>
      </c>
      <c r="I27" s="6" t="s">
        <v>91</v>
      </c>
      <c r="J27" s="6"/>
      <c r="K27" s="6" t="s">
        <v>19</v>
      </c>
    </row>
    <row r="28" spans="1:11" ht="24" x14ac:dyDescent="0.3">
      <c r="A28" s="6" t="s">
        <v>84</v>
      </c>
      <c r="B28" s="6" t="s">
        <v>92</v>
      </c>
      <c r="C28" s="6" t="s">
        <v>93</v>
      </c>
      <c r="D28" s="6" t="s">
        <v>94</v>
      </c>
      <c r="E28" s="6">
        <v>5</v>
      </c>
      <c r="F28" s="7">
        <v>46304</v>
      </c>
      <c r="G28" s="6">
        <v>11</v>
      </c>
      <c r="H28" s="7">
        <v>46315</v>
      </c>
      <c r="I28" s="6" t="s">
        <v>95</v>
      </c>
      <c r="J28" s="6"/>
      <c r="K28" s="6" t="s">
        <v>19</v>
      </c>
    </row>
    <row r="29" spans="1:11" ht="24" x14ac:dyDescent="0.3">
      <c r="A29" s="6" t="s">
        <v>84</v>
      </c>
      <c r="B29" s="6" t="s">
        <v>96</v>
      </c>
      <c r="C29" s="6" t="s">
        <v>97</v>
      </c>
      <c r="D29" s="6" t="s">
        <v>98</v>
      </c>
      <c r="E29" s="6">
        <v>7</v>
      </c>
      <c r="F29" s="7">
        <v>46308</v>
      </c>
      <c r="G29" s="6">
        <v>9</v>
      </c>
      <c r="H29" s="7">
        <v>46310</v>
      </c>
      <c r="I29" s="6" t="s">
        <v>99</v>
      </c>
      <c r="J29" s="8" t="s">
        <v>100</v>
      </c>
      <c r="K29" s="6" t="s">
        <v>19</v>
      </c>
    </row>
    <row r="30" spans="1:11" x14ac:dyDescent="0.3">
      <c r="A30" s="4" t="s">
        <v>101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24" x14ac:dyDescent="0.3">
      <c r="A31" s="6" t="s">
        <v>101</v>
      </c>
      <c r="B31" s="6" t="s">
        <v>102</v>
      </c>
      <c r="C31" s="6" t="s">
        <v>103</v>
      </c>
      <c r="D31" s="6" t="s">
        <v>70</v>
      </c>
      <c r="E31" s="6">
        <v>1</v>
      </c>
      <c r="F31" s="7">
        <v>46300</v>
      </c>
      <c r="G31" s="6">
        <v>2</v>
      </c>
      <c r="H31" s="7">
        <v>46301</v>
      </c>
      <c r="I31" s="6" t="s">
        <v>104</v>
      </c>
      <c r="J31" s="6"/>
      <c r="K31" s="6" t="s">
        <v>19</v>
      </c>
    </row>
    <row r="32" spans="1:11" ht="24" x14ac:dyDescent="0.3">
      <c r="A32" s="6" t="s">
        <v>101</v>
      </c>
      <c r="B32" s="6" t="s">
        <v>105</v>
      </c>
      <c r="C32" s="6" t="s">
        <v>106</v>
      </c>
      <c r="D32" s="6" t="s">
        <v>44</v>
      </c>
      <c r="E32" s="6">
        <v>3</v>
      </c>
      <c r="F32" s="7">
        <v>46302</v>
      </c>
      <c r="G32" s="6">
        <v>8</v>
      </c>
      <c r="H32" s="7">
        <v>46309</v>
      </c>
      <c r="I32" s="6" t="s">
        <v>107</v>
      </c>
      <c r="J32" s="6"/>
      <c r="K32" s="6" t="s">
        <v>19</v>
      </c>
    </row>
    <row r="33" spans="1:11" x14ac:dyDescent="0.3">
      <c r="A33" s="4" t="s">
        <v>108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3">
      <c r="A34" s="6" t="s">
        <v>108</v>
      </c>
      <c r="B34" s="6" t="s">
        <v>109</v>
      </c>
      <c r="C34" s="6" t="s">
        <v>110</v>
      </c>
      <c r="D34" s="6" t="s">
        <v>16</v>
      </c>
      <c r="E34" s="6">
        <v>1</v>
      </c>
      <c r="F34" s="7">
        <v>46300</v>
      </c>
      <c r="G34" s="6">
        <v>11</v>
      </c>
      <c r="H34" s="7">
        <v>46315</v>
      </c>
      <c r="I34" s="6" t="s">
        <v>111</v>
      </c>
      <c r="J34" s="6"/>
      <c r="K34" s="6" t="s">
        <v>19</v>
      </c>
    </row>
    <row r="35" spans="1:11" x14ac:dyDescent="0.3">
      <c r="A35" s="6" t="s">
        <v>108</v>
      </c>
      <c r="B35" s="6" t="s">
        <v>112</v>
      </c>
      <c r="C35" s="6" t="s">
        <v>113</v>
      </c>
      <c r="D35" s="6" t="s">
        <v>16</v>
      </c>
      <c r="E35" s="6">
        <v>3</v>
      </c>
      <c r="F35" s="7">
        <v>46302</v>
      </c>
      <c r="G35" s="6">
        <v>11</v>
      </c>
      <c r="H35" s="7">
        <v>46315</v>
      </c>
      <c r="I35" s="6" t="s">
        <v>91</v>
      </c>
      <c r="J35" s="6"/>
      <c r="K35" s="6" t="s">
        <v>19</v>
      </c>
    </row>
    <row r="36" spans="1:11" x14ac:dyDescent="0.3">
      <c r="A36" s="4" t="s">
        <v>114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24" x14ac:dyDescent="0.3">
      <c r="A37" s="6" t="s">
        <v>114</v>
      </c>
      <c r="B37" s="6" t="s">
        <v>115</v>
      </c>
      <c r="C37" s="6" t="s">
        <v>116</v>
      </c>
      <c r="D37" s="6" t="s">
        <v>117</v>
      </c>
      <c r="E37" s="6">
        <v>3</v>
      </c>
      <c r="F37" s="7">
        <v>46302</v>
      </c>
      <c r="G37" s="6">
        <v>10</v>
      </c>
      <c r="H37" s="7">
        <v>46311</v>
      </c>
      <c r="I37" s="6" t="s">
        <v>118</v>
      </c>
      <c r="J37" s="6"/>
      <c r="K37" s="6" t="s">
        <v>19</v>
      </c>
    </row>
    <row r="38" spans="1:11" x14ac:dyDescent="0.3">
      <c r="A38" s="6" t="s">
        <v>114</v>
      </c>
      <c r="B38" s="6" t="s">
        <v>119</v>
      </c>
      <c r="C38" s="6" t="s">
        <v>120</v>
      </c>
      <c r="D38" s="6" t="s">
        <v>16</v>
      </c>
      <c r="E38" s="6">
        <v>9</v>
      </c>
      <c r="F38" s="7">
        <v>46310</v>
      </c>
      <c r="G38" s="6">
        <v>10</v>
      </c>
      <c r="H38" s="7">
        <v>46311</v>
      </c>
      <c r="I38" s="6" t="s">
        <v>121</v>
      </c>
      <c r="J38" s="8" t="s">
        <v>122</v>
      </c>
      <c r="K38" s="6" t="s">
        <v>19</v>
      </c>
    </row>
    <row r="39" spans="1:11" x14ac:dyDescent="0.3">
      <c r="A39" s="6" t="s">
        <v>114</v>
      </c>
      <c r="B39" s="6" t="s">
        <v>123</v>
      </c>
      <c r="C39" s="8" t="s">
        <v>124</v>
      </c>
      <c r="D39" s="6" t="s">
        <v>125</v>
      </c>
      <c r="E39" s="6">
        <v>11</v>
      </c>
      <c r="F39" s="7">
        <v>46315</v>
      </c>
      <c r="G39" s="6">
        <v>11</v>
      </c>
      <c r="H39" s="7">
        <v>46315</v>
      </c>
      <c r="I39" s="6" t="s">
        <v>126</v>
      </c>
      <c r="J39" s="8" t="s">
        <v>127</v>
      </c>
      <c r="K39" s="6" t="s">
        <v>19</v>
      </c>
    </row>
    <row r="40" spans="1:11" x14ac:dyDescent="0.3">
      <c r="A40" s="6" t="s">
        <v>114</v>
      </c>
      <c r="B40" s="6" t="s">
        <v>128</v>
      </c>
      <c r="C40" s="6" t="s">
        <v>129</v>
      </c>
      <c r="D40" s="6" t="s">
        <v>23</v>
      </c>
      <c r="E40" s="6">
        <v>12</v>
      </c>
      <c r="F40" s="7">
        <v>46316</v>
      </c>
      <c r="G40" s="6">
        <v>14</v>
      </c>
      <c r="H40" s="7">
        <v>46318</v>
      </c>
      <c r="I40" s="6" t="s">
        <v>130</v>
      </c>
      <c r="J40" s="6"/>
      <c r="K40" s="6" t="s">
        <v>19</v>
      </c>
    </row>
    <row r="41" spans="1:11" x14ac:dyDescent="0.3">
      <c r="A41" s="4" t="s">
        <v>131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3">
      <c r="A42" s="6" t="s">
        <v>131</v>
      </c>
      <c r="B42" s="6" t="s">
        <v>132</v>
      </c>
      <c r="C42" s="6" t="s">
        <v>133</v>
      </c>
      <c r="D42" s="6" t="s">
        <v>16</v>
      </c>
      <c r="E42" s="6">
        <v>1</v>
      </c>
      <c r="F42" s="7">
        <v>46300</v>
      </c>
      <c r="G42" s="6">
        <v>14</v>
      </c>
      <c r="H42" s="7">
        <v>46318</v>
      </c>
      <c r="I42" s="6" t="s">
        <v>134</v>
      </c>
      <c r="J42" s="6"/>
      <c r="K42" s="6" t="s">
        <v>19</v>
      </c>
    </row>
    <row r="43" spans="1:11" ht="25.2" x14ac:dyDescent="0.3">
      <c r="A43" s="6" t="s">
        <v>131</v>
      </c>
      <c r="B43" s="6" t="s">
        <v>135</v>
      </c>
      <c r="C43" s="6" t="s">
        <v>136</v>
      </c>
      <c r="D43" s="6" t="s">
        <v>23</v>
      </c>
      <c r="E43" s="6">
        <v>4</v>
      </c>
      <c r="F43" s="7">
        <v>46303</v>
      </c>
      <c r="G43" s="6">
        <v>4</v>
      </c>
      <c r="H43" s="7">
        <v>46303</v>
      </c>
      <c r="I43" s="6" t="s">
        <v>137</v>
      </c>
      <c r="J43" s="8" t="s">
        <v>138</v>
      </c>
      <c r="K43" s="6" t="s">
        <v>19</v>
      </c>
    </row>
    <row r="44" spans="1:11" x14ac:dyDescent="0.3">
      <c r="A44" s="6" t="s">
        <v>131</v>
      </c>
      <c r="B44" s="6" t="s">
        <v>139</v>
      </c>
      <c r="C44" s="6" t="s">
        <v>140</v>
      </c>
      <c r="D44" s="6" t="s">
        <v>23</v>
      </c>
      <c r="E44" s="6">
        <v>5</v>
      </c>
      <c r="F44" s="7">
        <v>46304</v>
      </c>
      <c r="G44" s="6">
        <v>10</v>
      </c>
      <c r="H44" s="7">
        <v>46311</v>
      </c>
      <c r="I44" s="6" t="s">
        <v>141</v>
      </c>
      <c r="J44" s="6"/>
      <c r="K44" s="6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pane ySplit="4" topLeftCell="A5" activePane="bottomLeft" state="frozen"/>
      <selection pane="bottomLeft" activeCell="E14" sqref="E14"/>
    </sheetView>
  </sheetViews>
  <sheetFormatPr defaultColWidth="8.6640625" defaultRowHeight="14.4" x14ac:dyDescent="0.3"/>
  <cols>
    <col min="1" max="1" width="12" customWidth="1"/>
    <col min="2" max="2" width="6" customWidth="1"/>
    <col min="3" max="3" width="11" customWidth="1"/>
    <col min="4" max="4" width="48" customWidth="1"/>
    <col min="5" max="5" width="30" customWidth="1"/>
    <col min="6" max="6" width="10" customWidth="1"/>
  </cols>
  <sheetData>
    <row r="1" spans="1:6" ht="19.2" x14ac:dyDescent="0.35">
      <c r="A1" s="1" t="s">
        <v>142</v>
      </c>
    </row>
    <row r="2" spans="1:6" x14ac:dyDescent="0.3">
      <c r="A2" s="2" t="s">
        <v>143</v>
      </c>
    </row>
    <row r="4" spans="1:6" x14ac:dyDescent="0.3">
      <c r="A4" s="3" t="s">
        <v>11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</row>
    <row r="5" spans="1:6" ht="24" x14ac:dyDescent="0.3">
      <c r="A5" s="8" t="s">
        <v>18</v>
      </c>
      <c r="B5" s="6">
        <v>0</v>
      </c>
      <c r="C5" s="7">
        <v>46296</v>
      </c>
      <c r="D5" s="6" t="s">
        <v>149</v>
      </c>
      <c r="E5" s="6" t="s">
        <v>150</v>
      </c>
      <c r="F5" s="6"/>
    </row>
    <row r="6" spans="1:6" x14ac:dyDescent="0.3">
      <c r="A6" s="8" t="s">
        <v>25</v>
      </c>
      <c r="B6" s="6">
        <v>1</v>
      </c>
      <c r="C6" s="7">
        <v>46300</v>
      </c>
      <c r="D6" s="6" t="s">
        <v>151</v>
      </c>
      <c r="E6" s="6" t="s">
        <v>152</v>
      </c>
      <c r="F6" s="6"/>
    </row>
    <row r="7" spans="1:6" x14ac:dyDescent="0.3">
      <c r="A7" s="8" t="s">
        <v>30</v>
      </c>
      <c r="B7" s="6">
        <v>2</v>
      </c>
      <c r="C7" s="7">
        <v>46301</v>
      </c>
      <c r="D7" s="6" t="s">
        <v>153</v>
      </c>
      <c r="E7" s="6" t="s">
        <v>154</v>
      </c>
      <c r="F7" s="6"/>
    </row>
    <row r="8" spans="1:6" x14ac:dyDescent="0.3">
      <c r="A8" s="8" t="s">
        <v>63</v>
      </c>
      <c r="B8" s="6">
        <v>4</v>
      </c>
      <c r="C8" s="7">
        <v>46303</v>
      </c>
      <c r="D8" s="6" t="s">
        <v>155</v>
      </c>
      <c r="E8" s="6" t="s">
        <v>156</v>
      </c>
      <c r="F8" s="6"/>
    </row>
    <row r="9" spans="1:6" ht="25.2" x14ac:dyDescent="0.3">
      <c r="A9" s="8" t="s">
        <v>138</v>
      </c>
      <c r="B9" s="6">
        <v>4</v>
      </c>
      <c r="C9" s="7">
        <v>46303</v>
      </c>
      <c r="D9" s="6" t="s">
        <v>157</v>
      </c>
      <c r="E9" s="6" t="s">
        <v>137</v>
      </c>
      <c r="F9" s="6"/>
    </row>
    <row r="10" spans="1:6" x14ac:dyDescent="0.3">
      <c r="A10" s="8" t="s">
        <v>38</v>
      </c>
      <c r="B10" s="6">
        <v>5</v>
      </c>
      <c r="C10" s="7">
        <v>46304</v>
      </c>
      <c r="D10" s="6" t="s">
        <v>158</v>
      </c>
      <c r="E10" s="6" t="s">
        <v>159</v>
      </c>
      <c r="F10" s="6"/>
    </row>
    <row r="11" spans="1:6" x14ac:dyDescent="0.3">
      <c r="A11" s="8" t="s">
        <v>54</v>
      </c>
      <c r="B11" s="6">
        <v>6</v>
      </c>
      <c r="C11" s="7">
        <v>46307</v>
      </c>
      <c r="D11" s="6" t="s">
        <v>160</v>
      </c>
      <c r="E11" s="6" t="s">
        <v>161</v>
      </c>
      <c r="F11" s="6"/>
    </row>
    <row r="12" spans="1:6" x14ac:dyDescent="0.3">
      <c r="A12" s="8" t="s">
        <v>100</v>
      </c>
      <c r="B12" s="6">
        <v>9</v>
      </c>
      <c r="C12" s="7">
        <v>46310</v>
      </c>
      <c r="D12" s="6" t="s">
        <v>162</v>
      </c>
      <c r="E12" s="6" t="s">
        <v>163</v>
      </c>
      <c r="F12" s="6"/>
    </row>
    <row r="13" spans="1:6" x14ac:dyDescent="0.3">
      <c r="A13" s="8" t="s">
        <v>122</v>
      </c>
      <c r="B13" s="6">
        <v>10</v>
      </c>
      <c r="C13" s="7">
        <v>46311</v>
      </c>
      <c r="D13" s="6" t="s">
        <v>164</v>
      </c>
      <c r="E13" s="6" t="s">
        <v>165</v>
      </c>
      <c r="F13" s="6"/>
    </row>
    <row r="14" spans="1:6" ht="24" x14ac:dyDescent="0.3">
      <c r="A14" s="8" t="s">
        <v>127</v>
      </c>
      <c r="B14" s="6">
        <v>11</v>
      </c>
      <c r="C14" s="7">
        <v>46315</v>
      </c>
      <c r="D14" s="6" t="s">
        <v>166</v>
      </c>
      <c r="E14" s="6" t="s">
        <v>167</v>
      </c>
      <c r="F1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Normal="100" workbookViewId="0">
      <pane ySplit="4" topLeftCell="A5" activePane="bottomLeft" state="frozen"/>
      <selection pane="bottomLeft" activeCell="C22" sqref="C22"/>
    </sheetView>
  </sheetViews>
  <sheetFormatPr defaultColWidth="8.6640625" defaultRowHeight="14.4" x14ac:dyDescent="0.3"/>
  <cols>
    <col min="1" max="1" width="6" customWidth="1"/>
    <col min="2" max="2" width="11" customWidth="1"/>
    <col min="3" max="3" width="12" customWidth="1"/>
    <col min="4" max="4" width="14" customWidth="1"/>
    <col min="5" max="5" width="9" customWidth="1"/>
    <col min="6" max="6" width="12" customWidth="1"/>
    <col min="7" max="7" width="9" customWidth="1"/>
    <col min="8" max="8" width="12" customWidth="1"/>
  </cols>
  <sheetData>
    <row r="1" spans="1:8" ht="19.2" x14ac:dyDescent="0.35">
      <c r="A1" s="1" t="s">
        <v>168</v>
      </c>
    </row>
    <row r="2" spans="1:8" x14ac:dyDescent="0.3">
      <c r="A2" s="2" t="s">
        <v>169</v>
      </c>
    </row>
    <row r="4" spans="1:8" ht="26.4" x14ac:dyDescent="0.3">
      <c r="A4" s="3" t="s">
        <v>144</v>
      </c>
      <c r="B4" s="3" t="s">
        <v>145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</row>
    <row r="5" spans="1:8" x14ac:dyDescent="0.3">
      <c r="A5" s="6">
        <v>0</v>
      </c>
      <c r="B5" s="7">
        <v>46296</v>
      </c>
      <c r="C5" s="6"/>
      <c r="D5" s="6"/>
      <c r="E5" s="6"/>
      <c r="F5" s="6"/>
      <c r="G5" s="6"/>
      <c r="H5" s="6"/>
    </row>
    <row r="6" spans="1:8" x14ac:dyDescent="0.3">
      <c r="A6" s="6">
        <v>1</v>
      </c>
      <c r="B6" s="7">
        <v>46300</v>
      </c>
      <c r="C6" s="6"/>
      <c r="D6" s="6"/>
      <c r="E6" s="6"/>
      <c r="F6" s="6"/>
      <c r="G6" s="6"/>
      <c r="H6" s="6"/>
    </row>
    <row r="7" spans="1:8" x14ac:dyDescent="0.3">
      <c r="A7" s="6">
        <v>2</v>
      </c>
      <c r="B7" s="7">
        <v>46301</v>
      </c>
      <c r="C7" s="6"/>
      <c r="D7" s="6"/>
      <c r="E7" s="6"/>
      <c r="F7" s="6"/>
      <c r="G7" s="6"/>
      <c r="H7" s="6"/>
    </row>
    <row r="8" spans="1:8" x14ac:dyDescent="0.3">
      <c r="A8" s="6">
        <v>3</v>
      </c>
      <c r="B8" s="7">
        <v>46302</v>
      </c>
      <c r="C8" s="6"/>
      <c r="D8" s="6"/>
      <c r="E8" s="6"/>
      <c r="F8" s="6"/>
      <c r="G8" s="6"/>
      <c r="H8" s="6"/>
    </row>
    <row r="9" spans="1:8" x14ac:dyDescent="0.3">
      <c r="A9" s="6">
        <v>4</v>
      </c>
      <c r="B9" s="7">
        <v>46303</v>
      </c>
      <c r="C9" s="6"/>
      <c r="D9" s="6"/>
      <c r="E9" s="6"/>
      <c r="F9" s="6"/>
      <c r="G9" s="6"/>
      <c r="H9" s="6"/>
    </row>
    <row r="10" spans="1:8" x14ac:dyDescent="0.3">
      <c r="A10" s="6">
        <v>5</v>
      </c>
      <c r="B10" s="7">
        <v>46304</v>
      </c>
      <c r="C10" s="6"/>
      <c r="D10" s="6"/>
      <c r="E10" s="6"/>
      <c r="F10" s="6"/>
      <c r="G10" s="6"/>
      <c r="H10" s="6"/>
    </row>
    <row r="11" spans="1:8" x14ac:dyDescent="0.3">
      <c r="A11" s="6">
        <v>6</v>
      </c>
      <c r="B11" s="7">
        <v>46307</v>
      </c>
      <c r="C11" s="6"/>
      <c r="D11" s="6"/>
      <c r="E11" s="6"/>
      <c r="F11" s="6"/>
      <c r="G11" s="6"/>
      <c r="H11" s="6"/>
    </row>
    <row r="12" spans="1:8" x14ac:dyDescent="0.3">
      <c r="A12" s="6">
        <v>7</v>
      </c>
      <c r="B12" s="7">
        <v>46308</v>
      </c>
      <c r="C12" s="6"/>
      <c r="D12" s="6"/>
      <c r="E12" s="6"/>
      <c r="F12" s="6"/>
      <c r="G12" s="6"/>
      <c r="H12" s="6"/>
    </row>
    <row r="13" spans="1:8" x14ac:dyDescent="0.3">
      <c r="A13" s="6">
        <v>8</v>
      </c>
      <c r="B13" s="7">
        <v>46309</v>
      </c>
      <c r="C13" s="6"/>
      <c r="D13" s="6"/>
      <c r="E13" s="6"/>
      <c r="F13" s="6"/>
      <c r="G13" s="6"/>
      <c r="H13" s="6"/>
    </row>
    <row r="14" spans="1:8" x14ac:dyDescent="0.3">
      <c r="A14" s="6">
        <v>9</v>
      </c>
      <c r="B14" s="7">
        <v>46310</v>
      </c>
      <c r="C14" s="6"/>
      <c r="D14" s="6"/>
      <c r="E14" s="6"/>
      <c r="F14" s="6"/>
      <c r="G14" s="6"/>
      <c r="H14" s="6"/>
    </row>
    <row r="15" spans="1:8" x14ac:dyDescent="0.3">
      <c r="A15" s="6">
        <v>10</v>
      </c>
      <c r="B15" s="7">
        <v>46311</v>
      </c>
      <c r="C15" s="6"/>
      <c r="D15" s="6"/>
      <c r="E15" s="6"/>
      <c r="F15" s="6"/>
      <c r="G15" s="6"/>
      <c r="H15" s="6"/>
    </row>
    <row r="16" spans="1:8" x14ac:dyDescent="0.3">
      <c r="A16" s="6">
        <v>11</v>
      </c>
      <c r="B16" s="7">
        <v>46315</v>
      </c>
      <c r="C16" s="6"/>
      <c r="D16" s="6"/>
      <c r="E16" s="6"/>
      <c r="F16" s="6"/>
      <c r="G16" s="6"/>
      <c r="H16" s="6"/>
    </row>
    <row r="17" spans="1:8" x14ac:dyDescent="0.3">
      <c r="A17" s="6">
        <v>12</v>
      </c>
      <c r="B17" s="7">
        <v>46316</v>
      </c>
      <c r="C17" s="6"/>
      <c r="D17" s="6"/>
      <c r="E17" s="6"/>
      <c r="F17" s="6"/>
      <c r="G17" s="6"/>
      <c r="H17" s="6"/>
    </row>
    <row r="18" spans="1:8" x14ac:dyDescent="0.3">
      <c r="A18" s="6">
        <v>13</v>
      </c>
      <c r="B18" s="7">
        <v>46317</v>
      </c>
      <c r="C18" s="6"/>
      <c r="D18" s="6"/>
      <c r="E18" s="6"/>
      <c r="F18" s="6"/>
      <c r="G18" s="6"/>
      <c r="H18" s="6"/>
    </row>
    <row r="19" spans="1:8" x14ac:dyDescent="0.3">
      <c r="A19" s="6">
        <v>14</v>
      </c>
      <c r="B19" s="7">
        <v>46318</v>
      </c>
      <c r="C19" s="6"/>
      <c r="D19" s="6"/>
      <c r="E19" s="6"/>
      <c r="F19" s="6"/>
      <c r="G19" s="6"/>
      <c r="H19" s="6"/>
    </row>
    <row r="20" spans="1:8" x14ac:dyDescent="0.3">
      <c r="A20" s="9" t="s">
        <v>176</v>
      </c>
      <c r="C20" s="9">
        <f t="shared" ref="C20:H20" si="0">SUM(C5:C19)</f>
        <v>0</v>
      </c>
      <c r="D20" s="9">
        <f t="shared" si="0"/>
        <v>0</v>
      </c>
      <c r="E20" s="9">
        <f t="shared" si="0"/>
        <v>0</v>
      </c>
      <c r="F20" s="9">
        <f t="shared" si="0"/>
        <v>0</v>
      </c>
      <c r="G20" s="9">
        <f t="shared" si="0"/>
        <v>0</v>
      </c>
      <c r="H20" s="9">
        <f t="shared" si="0"/>
        <v>0</v>
      </c>
    </row>
    <row r="21" spans="1:8" x14ac:dyDescent="0.3">
      <c r="A21" s="9" t="s">
        <v>177</v>
      </c>
      <c r="C21">
        <v>135</v>
      </c>
      <c r="D21">
        <v>65</v>
      </c>
      <c r="E21">
        <v>105</v>
      </c>
      <c r="F21">
        <v>45</v>
      </c>
      <c r="G21">
        <v>20</v>
      </c>
      <c r="H21">
        <v>10</v>
      </c>
    </row>
    <row r="22" spans="1:8" x14ac:dyDescent="0.3">
      <c r="A22" s="9" t="s">
        <v>178</v>
      </c>
      <c r="C22" s="10">
        <f t="shared" ref="C22:H22" si="1">C21-C20</f>
        <v>135</v>
      </c>
      <c r="D22" s="10">
        <f t="shared" si="1"/>
        <v>65</v>
      </c>
      <c r="E22" s="10">
        <f t="shared" si="1"/>
        <v>105</v>
      </c>
      <c r="F22" s="10">
        <f t="shared" si="1"/>
        <v>45</v>
      </c>
      <c r="G22" s="10">
        <f t="shared" si="1"/>
        <v>20</v>
      </c>
      <c r="H22" s="10">
        <f t="shared" si="1"/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Plan</vt:lpstr>
      <vt:lpstr>Milestones</vt:lpstr>
      <vt:lpstr>Daily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Radhakrishnan</cp:lastModifiedBy>
  <cp:revision>0</cp:revision>
  <dcterms:created xsi:type="dcterms:W3CDTF">2026-09-29T12:29:48Z</dcterms:created>
  <dcterms:modified xsi:type="dcterms:W3CDTF">2026-09-29T12:39:03Z</dcterms:modified>
  <dc:language>en-US</dc:language>
</cp:coreProperties>
</file>
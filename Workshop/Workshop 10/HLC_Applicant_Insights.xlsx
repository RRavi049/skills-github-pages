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r\Consulting\HLC\Workshop\Workshop 10\"/>
    </mc:Choice>
  </mc:AlternateContent>
  <xr:revisionPtr revIDLastSave="0" documentId="13_ncr:1_{6E27F90E-0630-4CB4-B323-BD181DC2EC3F}" xr6:coauthVersionLast="47" xr6:coauthVersionMax="47" xr10:uidLastSave="{00000000-0000-0000-0000-000000000000}"/>
  <bookViews>
    <workbookView xWindow="-108" yWindow="-108" windowWidth="23256" windowHeight="12456" tabRatio="500" xr2:uid="{00000000-000D-0000-FFFF-FFFF00000000}"/>
  </bookViews>
  <sheets>
    <sheet name="Summary" sheetId="2" r:id="rId1"/>
    <sheet name="Applicant Insights" sheetId="1" r:id="rId2"/>
    <sheet name="Method"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2" i="2" l="1"/>
  <c r="B90" i="2"/>
  <c r="C90" i="2" s="1"/>
  <c r="B89" i="2"/>
  <c r="C89" i="2" s="1"/>
  <c r="B88" i="2"/>
  <c r="C88" i="2" s="1"/>
  <c r="B87" i="2"/>
  <c r="C87" i="2" s="1"/>
  <c r="B86" i="2"/>
  <c r="C86" i="2" s="1"/>
  <c r="B85" i="2"/>
  <c r="C85" i="2" s="1"/>
  <c r="B84" i="2"/>
  <c r="C84" i="2" s="1"/>
  <c r="B83" i="2"/>
  <c r="C83" i="2" s="1"/>
  <c r="B82" i="2"/>
  <c r="C82" i="2" s="1"/>
  <c r="B81" i="2"/>
  <c r="C81" i="2" s="1"/>
  <c r="B80" i="2"/>
  <c r="C80" i="2" s="1"/>
  <c r="B79" i="2"/>
  <c r="C79" i="2" s="1"/>
  <c r="B78" i="2"/>
  <c r="C78" i="2" s="1"/>
  <c r="B77" i="2"/>
  <c r="C77" i="2" s="1"/>
  <c r="B76" i="2"/>
  <c r="C76" i="2" s="1"/>
  <c r="B73" i="2"/>
  <c r="C73" i="2" s="1"/>
  <c r="B72" i="2"/>
  <c r="C72" i="2" s="1"/>
  <c r="B71" i="2"/>
  <c r="C71" i="2" s="1"/>
  <c r="B70" i="2"/>
  <c r="C70" i="2" s="1"/>
  <c r="B69" i="2"/>
  <c r="C69" i="2" s="1"/>
  <c r="B68" i="2"/>
  <c r="C68" i="2" s="1"/>
  <c r="B67" i="2"/>
  <c r="C67" i="2" s="1"/>
  <c r="B66" i="2"/>
  <c r="C66" i="2" s="1"/>
  <c r="B65" i="2"/>
  <c r="C65" i="2" s="1"/>
  <c r="B64" i="2"/>
  <c r="C64" i="2" s="1"/>
  <c r="B63" i="2"/>
  <c r="C63" i="2" s="1"/>
  <c r="B62" i="2"/>
  <c r="C62" i="2" s="1"/>
  <c r="B61" i="2"/>
  <c r="C61" i="2" s="1"/>
  <c r="B58" i="2"/>
  <c r="C58" i="2" s="1"/>
  <c r="B57" i="2"/>
  <c r="C57" i="2" s="1"/>
  <c r="B56" i="2"/>
  <c r="C56" i="2" s="1"/>
  <c r="B55" i="2"/>
  <c r="C55" i="2" s="1"/>
  <c r="B54" i="2"/>
  <c r="C54" i="2" s="1"/>
  <c r="B53" i="2"/>
  <c r="C53" i="2" s="1"/>
  <c r="B52" i="2"/>
  <c r="C52" i="2" s="1"/>
  <c r="B51" i="2"/>
  <c r="C51" i="2" s="1"/>
  <c r="B50" i="2"/>
  <c r="C50" i="2" s="1"/>
  <c r="B49" i="2"/>
  <c r="C49" i="2" s="1"/>
  <c r="B48" i="2"/>
  <c r="C48" i="2" s="1"/>
  <c r="B47" i="2"/>
  <c r="C47" i="2" s="1"/>
  <c r="B46" i="2"/>
  <c r="C46" i="2" s="1"/>
  <c r="B43" i="2"/>
  <c r="C43" i="2" s="1"/>
  <c r="B42" i="2"/>
  <c r="C42" i="2" s="1"/>
  <c r="B41" i="2"/>
  <c r="C41" i="2" s="1"/>
  <c r="B38" i="2"/>
  <c r="C38" i="2" s="1"/>
  <c r="B37" i="2"/>
  <c r="C37" i="2" s="1"/>
  <c r="B36" i="2"/>
  <c r="C36" i="2" s="1"/>
  <c r="B33" i="2"/>
  <c r="C33" i="2" s="1"/>
  <c r="B32" i="2"/>
  <c r="C32" i="2" s="1"/>
  <c r="B31" i="2"/>
  <c r="C31" i="2" s="1"/>
  <c r="B30" i="2"/>
  <c r="C30" i="2" s="1"/>
  <c r="B29" i="2"/>
  <c r="C29" i="2" s="1"/>
  <c r="B28" i="2"/>
  <c r="C28" i="2" s="1"/>
  <c r="B25" i="2"/>
  <c r="C25" i="2" s="1"/>
  <c r="B24" i="2"/>
  <c r="C24" i="2" s="1"/>
  <c r="B23" i="2"/>
  <c r="C23" i="2" s="1"/>
  <c r="B22" i="2"/>
  <c r="C22" i="2" s="1"/>
  <c r="B21" i="2"/>
  <c r="C21" i="2" s="1"/>
  <c r="B20" i="2"/>
  <c r="C20" i="2" s="1"/>
  <c r="B17" i="2"/>
  <c r="C17" i="2" s="1"/>
  <c r="B16" i="2"/>
  <c r="C16" i="2" s="1"/>
  <c r="B15" i="2"/>
  <c r="C15" i="2" s="1"/>
  <c r="B14" i="2"/>
  <c r="C14" i="2" s="1"/>
  <c r="B13" i="2"/>
  <c r="C13" i="2" s="1"/>
  <c r="B12" i="2"/>
  <c r="C12" i="2" s="1"/>
  <c r="B11" i="2"/>
  <c r="C11" i="2" s="1"/>
  <c r="B10" i="2"/>
  <c r="C10" i="2" s="1"/>
  <c r="B9" i="2"/>
  <c r="C9" i="2" s="1"/>
  <c r="B8" i="2"/>
  <c r="C8" i="2" s="1"/>
  <c r="B7" i="2"/>
  <c r="C7" i="2" s="1"/>
  <c r="B6" i="2"/>
  <c r="C6" i="2" s="1"/>
  <c r="B5" i="2"/>
  <c r="C5" i="2" s="1"/>
  <c r="B4" i="2"/>
  <c r="C4" i="2" s="1"/>
</calcChain>
</file>

<file path=xl/sharedStrings.xml><?xml version="1.0" encoding="utf-8"?>
<sst xmlns="http://schemas.openxmlformats.org/spreadsheetml/2006/main" count="5914" uniqueCount="1496">
  <si>
    <t>HLC International — Applicant Insights, AY 2026–27 cycle</t>
  </si>
  <si>
    <t>Internal and confidential. Income, mobility and distance are estimates from proxies — see the Method tab. Contact details deliberately excluded.</t>
  </si>
  <si>
    <t>APPLICANT</t>
  </si>
  <si>
    <t>FAMILY PROFILE</t>
  </si>
  <si>
    <t>ESTIMATED INCOME</t>
  </si>
  <si>
    <t>MOBILITY</t>
  </si>
  <si>
    <t>PROXIMITY</t>
  </si>
  <si>
    <t>WHY HLC</t>
  </si>
  <si>
    <t>#</t>
  </si>
  <si>
    <t>Applicant</t>
  </si>
  <si>
    <t>Grade applied</t>
  </si>
  <si>
    <t>Application date</t>
  </si>
  <si>
    <t>Father — occupation · role · employer</t>
  </si>
  <si>
    <t>Mother — occupation · role · employer</t>
  </si>
  <si>
    <t>Profession 1 (father)</t>
  </si>
  <si>
    <t>Profession 2 (mother)</t>
  </si>
  <si>
    <t>Family income band</t>
  </si>
  <si>
    <t>Range (₹ lakh a year)</t>
  </si>
  <si>
    <t>Confidence</t>
  </si>
  <si>
    <t>Transfer out of Chennai</t>
  </si>
  <si>
    <t>Transfer out of India</t>
  </si>
  <si>
    <t>Relocation note</t>
  </si>
  <si>
    <t>Locality</t>
  </si>
  <si>
    <t>Est. distance (km)</t>
  </si>
  <si>
    <t>Proximity grade</t>
  </si>
  <si>
    <t>HLC families in same community</t>
  </si>
  <si>
    <t>HLC students in same locality</t>
  </si>
  <si>
    <t>Primary reason</t>
  </si>
  <si>
    <t>All reasons</t>
  </si>
  <si>
    <t>In their words</t>
  </si>
  <si>
    <t>PreKG - Express Interest Now  ·  36 applicants</t>
  </si>
  <si>
    <t>R.Daanya</t>
  </si>
  <si>
    <t>PreKG - Express Interest Now</t>
  </si>
  <si>
    <t>2025-11-01</t>
  </si>
  <si>
    <t>—</t>
  </si>
  <si>
    <t>Not stated</t>
  </si>
  <si>
    <t>Not determinable</t>
  </si>
  <si>
    <t>Low</t>
  </si>
  <si>
    <t>Not clear</t>
  </si>
  <si>
    <t>U — Not determinable</t>
  </si>
  <si>
    <t>0</t>
  </si>
  <si>
    <t>Not stated / general</t>
  </si>
  <si>
    <t>Srishti S.</t>
  </si>
  <si>
    <t>KANISHA</t>
  </si>
  <si>
    <t>Yuktha Kishore</t>
  </si>
  <si>
    <t>Nila.R</t>
  </si>
  <si>
    <t>R.Nila</t>
  </si>
  <si>
    <t>Dhriti Ram</t>
  </si>
  <si>
    <t>Meenakshi Vijayalakshmi Kartik</t>
  </si>
  <si>
    <t>2025-11-02</t>
  </si>
  <si>
    <t>Rhythm</t>
  </si>
  <si>
    <t>2025-11-03</t>
  </si>
  <si>
    <t>Iniya Madhavan</t>
  </si>
  <si>
    <t>N.Nia Nithwin</t>
  </si>
  <si>
    <t>Arshad Siddique</t>
  </si>
  <si>
    <t>Software engineer · Associate Vice President · Softeon</t>
  </si>
  <si>
    <t>Software engineer · Technical lead · Tata consultancy services</t>
  </si>
  <si>
    <t>IT and software</t>
  </si>
  <si>
    <t>₹80 L and above</t>
  </si>
  <si>
    <t>68–135</t>
  </si>
  <si>
    <t>Medium</t>
  </si>
  <si>
    <t>Thalambur</t>
  </si>
  <si>
    <t>A — Doorstep (≤5 km)</t>
  </si>
  <si>
    <t>3 (Casagrande Pavilion)</t>
  </si>
  <si>
    <t>Child-centric, individual attention</t>
  </si>
  <si>
    <t>Child-centric, individual attention, Stress-free, joyful learning, Experiential, hands-on learning, Values, nurturing environment and inclusion, Life skills, confidence, leadership, Quality and standards of education, Interest and passion-led learning</t>
  </si>
  <si>
    <t>I’m choosing HLC because it offers a child-centred, experiential approach to education. I appreciate that HLC focuses on developing life skills, critical thinki…</t>
  </si>
  <si>
    <t>Shawn Marcello S</t>
  </si>
  <si>
    <t>2025-11-04</t>
  </si>
  <si>
    <t>Dheekshitha Dhivakar</t>
  </si>
  <si>
    <t>2025-11-05</t>
  </si>
  <si>
    <t>Gayan Dev S</t>
  </si>
  <si>
    <t>KRISHAV</t>
  </si>
  <si>
    <t>2025-11-07</t>
  </si>
  <si>
    <t>Adhira A</t>
  </si>
  <si>
    <t>2025-11-08</t>
  </si>
  <si>
    <t>Vanshika</t>
  </si>
  <si>
    <t>2025-11-09</t>
  </si>
  <si>
    <t>karthikeyan B</t>
  </si>
  <si>
    <t>2025-11-11</t>
  </si>
  <si>
    <t>K.S Aruvi</t>
  </si>
  <si>
    <t>A.k.Mahat krishna</t>
  </si>
  <si>
    <t>2025-11-13</t>
  </si>
  <si>
    <t>Radiologist · Proprietor · Dr.anand's scan</t>
  </si>
  <si>
    <t>Home maker · Home maker · Home maker</t>
  </si>
  <si>
    <t>Healthcare</t>
  </si>
  <si>
    <t>Homemaker</t>
  </si>
  <si>
    <t>₹30–50 L</t>
  </si>
  <si>
    <t>20–50</t>
  </si>
  <si>
    <t>Karanai</t>
  </si>
  <si>
    <t>14 (Jones Cassia)</t>
  </si>
  <si>
    <t>Stress-free, joyful learning</t>
  </si>
  <si>
    <t>Very happy with our first kid progress</t>
  </si>
  <si>
    <t>Tharika V</t>
  </si>
  <si>
    <t>2025-11-20</t>
  </si>
  <si>
    <t>Supply Chain · Manager · Ford</t>
  </si>
  <si>
    <t>Career break · Previously worked as an HR operations lead · Not working currently</t>
  </si>
  <si>
    <t>Management and consulting</t>
  </si>
  <si>
    <t>₹50–80 L</t>
  </si>
  <si>
    <t>39–78</t>
  </si>
  <si>
    <t>Ottiyambakkam</t>
  </si>
  <si>
    <t>C — Commutable (10–15 km)</t>
  </si>
  <si>
    <t>Child-centric, individual attention, Stress-free, joyful learning, Experiential, hands-on learning, Values, nurturing environment and inclusion, Life skills, confidence, leadership, Interest and passion-led learning</t>
  </si>
  <si>
    <t>We are seeking HLC for our child because we believe in an environment that encourages curiosity, independence, and joyful learning. HLC’s philosophy of nurturin…</t>
  </si>
  <si>
    <t>Aadhiran Jayaprathap</t>
  </si>
  <si>
    <t>2025-11-25</t>
  </si>
  <si>
    <t>LASYA SHREE A</t>
  </si>
  <si>
    <t>Adelina carlin</t>
  </si>
  <si>
    <t>Hridhaan Shyam</t>
  </si>
  <si>
    <t>2025-11-26</t>
  </si>
  <si>
    <t>Iyaan</t>
  </si>
  <si>
    <t>2025-12-01</t>
  </si>
  <si>
    <t>Ayra Parry</t>
  </si>
  <si>
    <t>2025-12-12</t>
  </si>
  <si>
    <t>Aadhiran.P.S</t>
  </si>
  <si>
    <t>2025-12-18</t>
  </si>
  <si>
    <t>SAANVI V</t>
  </si>
  <si>
    <t>2025-12-30</t>
  </si>
  <si>
    <t>Aaradhya Vignesh</t>
  </si>
  <si>
    <t>Reehaa S Palani</t>
  </si>
  <si>
    <t>2026-01-04</t>
  </si>
  <si>
    <t>Hamsika V</t>
  </si>
  <si>
    <t>2026-01-09</t>
  </si>
  <si>
    <t>Thara</t>
  </si>
  <si>
    <t>2026-01-10</t>
  </si>
  <si>
    <t>Harshiv S S</t>
  </si>
  <si>
    <t>2026-01-11</t>
  </si>
  <si>
    <t>Vedh Nandan</t>
  </si>
  <si>
    <t>2026-01-13</t>
  </si>
  <si>
    <t>PreKG  ·  1 applicant</t>
  </si>
  <si>
    <t>KIYAN KIRAN</t>
  </si>
  <si>
    <t>PreKG</t>
  </si>
  <si>
    <t>INFORMATION TECHNOLOGY · TECHNICAL ACCOUNT MANAGER · LIKEWIZE</t>
  </si>
  <si>
    <t>INFORMATION TECHNOLOGY · MANAGER SOLUTION ARCHITECT · DXC TECHNOLOGY</t>
  </si>
  <si>
    <t>48–90</t>
  </si>
  <si>
    <t>Perumbakkam</t>
  </si>
  <si>
    <t>B — Near (5–10 km)</t>
  </si>
  <si>
    <t>3 (Embassy)</t>
  </si>
  <si>
    <t>Holistic, all-round development</t>
  </si>
  <si>
    <t>Holistic, all-round development, Values, nurturing environment and inclusion, Recommendation and reputation</t>
  </si>
  <si>
    <t>After reviewing the website, we feel the outcomes we seek for our child align closely with what HLC offers. We are hopeful that an education at HLC will go beyo…</t>
  </si>
  <si>
    <t>LKG  ·  40 applicants</t>
  </si>
  <si>
    <t>Harvik S</t>
  </si>
  <si>
    <t>LKG</t>
  </si>
  <si>
    <t>IT · project Manager · standard Chartered Bank</t>
  </si>
  <si>
    <t>IT · test Lead · TCS</t>
  </si>
  <si>
    <t>High</t>
  </si>
  <si>
    <t>2 (Casagrand Divinity)</t>
  </si>
  <si>
    <t>Because am looking for a Holistic approach to education</t>
  </si>
  <si>
    <t>Rana Sathya Goutham</t>
  </si>
  <si>
    <t>Software Engineer · Specialist, Software Technology · KLA</t>
  </si>
  <si>
    <t>Architect · Architect · Self-Employed (Niche Studio)</t>
  </si>
  <si>
    <t>Media, design and arts</t>
  </si>
  <si>
    <t>Sholinganallur</t>
  </si>
  <si>
    <t>4 (Ceebros Belvedere)</t>
  </si>
  <si>
    <t>We are seeking HLC as the learning centre for our child because its philosophy deeply resonates with our own. We have visited the school and met Naveen and Raaj…</t>
  </si>
  <si>
    <t>Mihika Kalaivanan</t>
  </si>
  <si>
    <t>Salaried · Associate Consultant · TCS</t>
  </si>
  <si>
    <t>Salaried · Product Manager · Mocha Technologies</t>
  </si>
  <si>
    <t>36–70</t>
  </si>
  <si>
    <t>Child-centric, individual attention, Stress-free, joyful learning, Experiential, hands-on learning, Values, nurturing environment and inclusion, Life skills, confidence, leadership, Teachers and facilitators</t>
  </si>
  <si>
    <t>HLC's focus on nurturing child's inherent curiosity is what stood out for us. We believe education should be highly personal, if given a chance each child has t…</t>
  </si>
  <si>
    <t>Nyrah P</t>
  </si>
  <si>
    <t>Employee · People Analyst · KLA Tencor</t>
  </si>
  <si>
    <t>Business · Founder · Nyrah Luxe</t>
  </si>
  <si>
    <t>Business owner</t>
  </si>
  <si>
    <t>23–70</t>
  </si>
  <si>
    <t>Sports and physical activity</t>
  </si>
  <si>
    <t>Sports and physical activity, Quality and standards of education</t>
  </si>
  <si>
    <t>To give best education and sports to my daughter</t>
  </si>
  <si>
    <t>NILAN S</t>
  </si>
  <si>
    <t>Private employement · Deputy manager · Ford Motor private limited</t>
  </si>
  <si>
    <t>Software Engineer · Senior test lead · Wipro limited</t>
  </si>
  <si>
    <t>2 (Radiance)</t>
  </si>
  <si>
    <t>Experiential, hands-on learning</t>
  </si>
  <si>
    <t>Experiential, hands-on learning, Values, nurturing environment and inclusion</t>
  </si>
  <si>
    <t>HLC’s focus on hands-on learning, values, and a nurturing atmosphere makes it the ideal school for our child.</t>
  </si>
  <si>
    <t>Jai Dvithi</t>
  </si>
  <si>
    <t>IT Professional · Lead Engineer · Renault Nissan</t>
  </si>
  <si>
    <t>IT Professional · Team Lead · Infosys limited</t>
  </si>
  <si>
    <t>Vengadamangalam</t>
  </si>
  <si>
    <t>Recommendation and reputation</t>
  </si>
  <si>
    <t>Strong academic reputation</t>
  </si>
  <si>
    <t>Isabella Tom</t>
  </si>
  <si>
    <t>Software Engineer · Developer · Cognizant</t>
  </si>
  <si>
    <t>Not working · Nil · Nil</t>
  </si>
  <si>
    <t>Below ₹15 L</t>
  </si>
  <si>
    <t>8–20</t>
  </si>
  <si>
    <t>Child-centric, individual attention, Stress-free, joyful learning, Teachers and facilitators</t>
  </si>
  <si>
    <t>We are seeking HLC because its child‑centred, play‑based early years programme and experienced staff best support our daughter’s social‑emotional development an…</t>
  </si>
  <si>
    <t>Dakshan VS</t>
  </si>
  <si>
    <t>Software Engineer · Senior software Engineer · Mondu</t>
  </si>
  <si>
    <t>Homemaker · NA · NA</t>
  </si>
  <si>
    <t>Pallikaranai</t>
  </si>
  <si>
    <t>Stress-free, joyful learning, Experiential, hands-on learning, Values, nurturing environment and inclusion, Life skills, confidence, leadership</t>
  </si>
  <si>
    <t>We’re seeking HLC for our child because we love how the school focuses on nurturing curiosity, confidence, and creativity from an early age which aligns perfect…</t>
  </si>
  <si>
    <t>Brayden Matthew S</t>
  </si>
  <si>
    <t>IT Professional · Senior Software Engineer · Optum</t>
  </si>
  <si>
    <t>Home Maker · Home Maker · Home Maker</t>
  </si>
  <si>
    <t>Siruseri</t>
  </si>
  <si>
    <t>Life skills, confidence, leadership</t>
  </si>
  <si>
    <t>Life skills, confidence, leadership, Quality and standards of education</t>
  </si>
  <si>
    <t>We are seeking HLC because we recognize its strong focus on academic excellence and structured learning. We believe this rigorous foundation is essential to hel…</t>
  </si>
  <si>
    <t>SASTIKA</t>
  </si>
  <si>
    <t>IT · NPO ENGINEER · NOKIA</t>
  </si>
  <si>
    <t>IT · TECHNICAL SPECIALIST · HEXAWARE</t>
  </si>
  <si>
    <t>26–55</t>
  </si>
  <si>
    <t>Interest and passion-led learning</t>
  </si>
  <si>
    <t>Combining the proper education with a child's interest and passion</t>
  </si>
  <si>
    <t>Vivaan</t>
  </si>
  <si>
    <t>Software Engineer · Solution Delivery Advisor · Deloitte</t>
  </si>
  <si>
    <t>Housewife · NA · NA</t>
  </si>
  <si>
    <t>₹15–30 L</t>
  </si>
  <si>
    <t>9–25</t>
  </si>
  <si>
    <t>Perungudi</t>
  </si>
  <si>
    <t>3 (Planning)</t>
  </si>
  <si>
    <t>Life skills, confidence, leadership, Sports and physical activity</t>
  </si>
  <si>
    <t>We believe HLC provides the right environment for our child to learn meaningfully, grow with confidence, and develop into a capable and grounded individual.</t>
  </si>
  <si>
    <t>S SANVIKA</t>
  </si>
  <si>
    <t>Professional · Marketing Manager · Fourrts India Laboratories</t>
  </si>
  <si>
    <t>professional · Marketing Manager · Fourrts India</t>
  </si>
  <si>
    <t>Stress-free, joyful learning, Experiential, hands-on learning, Values, nurturing environment and inclusion</t>
  </si>
  <si>
    <t>We’re looking for a school that values curiosity and individuality as much as academic performance. HLC’s approach to hands-on learning and its emphasis on empa…</t>
  </si>
  <si>
    <t>Maanvi laxman</t>
  </si>
  <si>
    <t>2025-11-06</t>
  </si>
  <si>
    <t>Business · MD · Homefinders</t>
  </si>
  <si>
    <t>Homemaker · Homemaker · NA</t>
  </si>
  <si>
    <t>2 (Ramaniyam)</t>
  </si>
  <si>
    <t>Holistic, all-round development, Child-centric, individual attention, Stress-free, joyful learning, Experiential, hands-on learning, Life skills, confidence, leadership</t>
  </si>
  <si>
    <t>I am seeking HLC as a learning center for my child because I believe in its philosophy of holistic and learning by doing. Its approach to learning with its emph…</t>
  </si>
  <si>
    <t>Vamshika</t>
  </si>
  <si>
    <t>2025-11-10</t>
  </si>
  <si>
    <t>Software Engineer · Technology Specialist · IBM</t>
  </si>
  <si>
    <t>Software Engineer · Senior Associate · PWC</t>
  </si>
  <si>
    <t>30–68</t>
  </si>
  <si>
    <t>Holistic, all-round development, Stress-free, joyful learning, Experiential, hands-on learning, Values, nurturing environment and inclusion</t>
  </si>
  <si>
    <t>We believe that HLC provides a joyful and nurturing environment where our child can learn, explore, and grow holistically.</t>
  </si>
  <si>
    <t>A Manukarnika Reddy</t>
  </si>
  <si>
    <t>Business · Owner · Transport</t>
  </si>
  <si>
    <t>Self employed · Director · Caballoconstructions</t>
  </si>
  <si>
    <t>30–100</t>
  </si>
  <si>
    <t>For creative learning experience to our child</t>
  </si>
  <si>
    <t>S Arjun</t>
  </si>
  <si>
    <t>Private Sector- IT · Director · Ninjacart</t>
  </si>
  <si>
    <t>Private Sector- IT · Technical Lead · Bahwan Cybertek</t>
  </si>
  <si>
    <t>Thoraipakkam</t>
  </si>
  <si>
    <t>Holistic, all-round development, Values, nurturing environment and inclusion, Life skills, confidence, leadership, Sibling or continuity, Quality and standards of education</t>
  </si>
  <si>
    <t>Our daughter is currently studying at HLC( Mahima - Grade3), and we have observed significant intellectual and emotional growth in her through the school’s holi…</t>
  </si>
  <si>
    <t>Dharshik Azhagu Kumaran</t>
  </si>
  <si>
    <t>HR manger · Senior manager · Hexaware technologies Ltd Chennai</t>
  </si>
  <si>
    <t>IT software engineer · Senior Data engineer · Tiger Analytics Chennai</t>
  </si>
  <si>
    <t>38–75</t>
  </si>
  <si>
    <t>Holistic, all-round development, Experiential, hands-on learning, Values, nurturing environment and inclusion, Life skills, confidence, leadership, Recommendation and reputation, Interest and passion-led learning</t>
  </si>
  <si>
    <t>We chose HLC because of its reputation for holistic, experiential education and its focus on developing life skills, creativity, and emotional well-being along …</t>
  </si>
  <si>
    <t>N Siddhanth Raju</t>
  </si>
  <si>
    <t>2025-11-12</t>
  </si>
  <si>
    <t>Employee · IT consultant · Accenture</t>
  </si>
  <si>
    <t>Housewife · Housewife · Housewife</t>
  </si>
  <si>
    <t>18–35</t>
  </si>
  <si>
    <t>Semmancheri</t>
  </si>
  <si>
    <t>8 (Dinesh Vihar)</t>
  </si>
  <si>
    <t>Teachers and facilitators</t>
  </si>
  <si>
    <t>Teachers and facilitators, Recommendation and reputation</t>
  </si>
  <si>
    <t>At HLC each kid is given equal importance. We also admire the relationship between faculty and the student. They make the children feel safe and heard.</t>
  </si>
  <si>
    <t>Tanya Narayanan</t>
  </si>
  <si>
    <t>2025-11-14</t>
  </si>
  <si>
    <t>Business · Proprietor · Velavan Agency</t>
  </si>
  <si>
    <t>NA · NA · NA</t>
  </si>
  <si>
    <t>Other</t>
  </si>
  <si>
    <t>21–65</t>
  </si>
  <si>
    <t>Kazhipattur</t>
  </si>
  <si>
    <t>1 (Ouranya Bay)</t>
  </si>
  <si>
    <t>Stress-free, joyful learning, Cambridge, international curriculum, Teachers and facilitators, Interest and passion-led learning</t>
  </si>
  <si>
    <t>In HLC, we feel the emphasis is on the child's interests and passions than the curriculum and also not like the conventional schools where academics pressure is…</t>
  </si>
  <si>
    <t>Jahaan Sahoo</t>
  </si>
  <si>
    <t>2025-11-15</t>
  </si>
  <si>
    <t>Service · Company Secretary · Yamaha Motor India</t>
  </si>
  <si>
    <t>Service · Process lead Finance · Capgemini India</t>
  </si>
  <si>
    <t>Banking and finance</t>
  </si>
  <si>
    <t>24–50</t>
  </si>
  <si>
    <t>Yes</t>
  </si>
  <si>
    <t>Aathiran Hariprasad</t>
  </si>
  <si>
    <t>2025-11-19</t>
  </si>
  <si>
    <t>Information Technology · Software developer · Amazon</t>
  </si>
  <si>
    <t>House Wife · NA · House Wife</t>
  </si>
  <si>
    <t>1 (Front Model)</t>
  </si>
  <si>
    <t>HLC is known for its child-centric approach and we love to be child to be part of this learning center</t>
  </si>
  <si>
    <t>Dhruvan .G</t>
  </si>
  <si>
    <t>2025-11-21</t>
  </si>
  <si>
    <t>Vedh Jacob Gautham</t>
  </si>
  <si>
    <t>IT engineer · Cyber security engineer · Persistent Systems</t>
  </si>
  <si>
    <t>IT · NA · Currently on sabbatical</t>
  </si>
  <si>
    <t>16–38</t>
  </si>
  <si>
    <t>1 (Oxygen Urban)</t>
  </si>
  <si>
    <t>Holistic, all-round development, Stress-free, joyful learning, Values, nurturing environment and inclusion</t>
  </si>
  <si>
    <t>Looking for a holistic environment that is gentle and value oriented without undue pressure</t>
  </si>
  <si>
    <t>Sadhiv Sachin</t>
  </si>
  <si>
    <t>IT professional · Tech Lead · TCS,Chennai</t>
  </si>
  <si>
    <t>Home maker · Nil · Nil</t>
  </si>
  <si>
    <t>3 (Jasmine)</t>
  </si>
  <si>
    <t>Experiential, hands-on learning, Values, nurturing environment and inclusion, Life skills, confidence, leadership</t>
  </si>
  <si>
    <t>One that nurtures curiosity , confidence and independent thinking</t>
  </si>
  <si>
    <t>J.S.Mithra</t>
  </si>
  <si>
    <t>IT · Data analyst · Optum health and technology private limited</t>
  </si>
  <si>
    <t>Home maker · Home maker · Na</t>
  </si>
  <si>
    <t>We chose HLC because it offers a holistic learning environment that nurtures curiosity, individuality, and joy in learning. Its balanced approach supports both …</t>
  </si>
  <si>
    <t>Dheera Deepak</t>
  </si>
  <si>
    <t>2025-12-03</t>
  </si>
  <si>
    <t>Project sales - cement and mining · Business development manager · Timken</t>
  </si>
  <si>
    <t>IT · Functional architect · BlueYonder</t>
  </si>
  <si>
    <t>45–105</t>
  </si>
  <si>
    <t>Cambridge, international curriculum</t>
  </si>
  <si>
    <t>Cambridge, international curriculum, Life skills, confidence, leadership, Interest and passion-led learning</t>
  </si>
  <si>
    <t>I feel the curriculum of the school is very good and it helps the kids to grow up as a very confident, responsible and passionate individual.</t>
  </si>
  <si>
    <t>Zahan Shamirulla</t>
  </si>
  <si>
    <t>2025-12-15</t>
  </si>
  <si>
    <t>Software · DB · Relevantz IT</t>
  </si>
  <si>
    <t>Software Engineer · Analyst · TCS</t>
  </si>
  <si>
    <t>Sithalapakkam</t>
  </si>
  <si>
    <t>For better future</t>
  </si>
  <si>
    <t>Sierra Akira</t>
  </si>
  <si>
    <t>2025-12-16</t>
  </si>
  <si>
    <t>Private service · Senior Manager - Business Intelligence · Tata Consultancy Services</t>
  </si>
  <si>
    <t>Private service · Associate Director - AI Labs · Tiger Analytics</t>
  </si>
  <si>
    <t>65–150</t>
  </si>
  <si>
    <t>Holistic, all-round development, Life skills, confidence, leadership, Recommendation and reputation</t>
  </si>
  <si>
    <t>Focusing on children holistic learning, independent interests, focused on children overall growth.My family friend kid studies here and suggested the lifestyle …</t>
  </si>
  <si>
    <t>C V Toshika</t>
  </si>
  <si>
    <t>2025-12-22</t>
  </si>
  <si>
    <t>IT · IT · Fiserv</t>
  </si>
  <si>
    <t>IT · Lead · NPCI</t>
  </si>
  <si>
    <t>26–53</t>
  </si>
  <si>
    <t>4 (Marigold)</t>
  </si>
  <si>
    <t>Child-centric, individual attention, Experiential, hands-on learning, Values, nurturing environment and inclusion, Life skills, confidence, leadership</t>
  </si>
  <si>
    <t>We are seeking HLC as a learning centre for our child because of its child-centric approach that values curiosity, creativity, and emotional well-being alongsid…</t>
  </si>
  <si>
    <t>Vedanth AK</t>
  </si>
  <si>
    <t>2025-12-26</t>
  </si>
  <si>
    <t>IT Professional · Tech Lead · Fiserv India</t>
  </si>
  <si>
    <t>IT Professional · Associate Source Code Promoter · Ensono Technologies</t>
  </si>
  <si>
    <t>I gone through the school's website; the way child getting learning here is interesting and the focus here is on curriculum and other too. It's aligning with th…</t>
  </si>
  <si>
    <t>Lia Runith</t>
  </si>
  <si>
    <t>2025-12-29</t>
  </si>
  <si>
    <t>IT - software · Senior Technical Solutions Engineer · Data Bricks</t>
  </si>
  <si>
    <t>Textile Designer · Design Consultant · Self Employed</t>
  </si>
  <si>
    <t>Experiential, hands-on learning, Values, nurturing environment and inclusion, Cambridge, international curriculum</t>
  </si>
  <si>
    <t>An inclusive environment, driving curiosity, identifying and nurturing the kids areas of interest to drive learning with interest than mere curriculum and build…</t>
  </si>
  <si>
    <t>Dhashvanth</t>
  </si>
  <si>
    <t>Githansh</t>
  </si>
  <si>
    <t>Self Employed · Partner · Partner</t>
  </si>
  <si>
    <t>Self employed · Founder · Own company</t>
  </si>
  <si>
    <t>Madipakkam</t>
  </si>
  <si>
    <t>Good place</t>
  </si>
  <si>
    <t>Iniya M</t>
  </si>
  <si>
    <t>2025-12-31</t>
  </si>
  <si>
    <t>IT · Proejct Co-ordinator · TechMahindra</t>
  </si>
  <si>
    <t>Housewife · Homemaker · Home</t>
  </si>
  <si>
    <t>8–18</t>
  </si>
  <si>
    <t>Proximity and convenience</t>
  </si>
  <si>
    <t>Near to my Location and got a good name for the school</t>
  </si>
  <si>
    <t>Laya S A</t>
  </si>
  <si>
    <t>2026-01-05</t>
  </si>
  <si>
    <t>Network engineer · Vice president · Bny technology pvt ltd</t>
  </si>
  <si>
    <t>Home maker · Not applicable · Not applicable</t>
  </si>
  <si>
    <t>Engineering (non-IT)</t>
  </si>
  <si>
    <t>60–125</t>
  </si>
  <si>
    <t>Padur</t>
  </si>
  <si>
    <t>7 (Pacifica Aurum)</t>
  </si>
  <si>
    <t>Values, nurturing environment and inclusion</t>
  </si>
  <si>
    <t>Values, nurturing environment and inclusion, Interest and passion-led learning</t>
  </si>
  <si>
    <t>We believe HLC is idealogically aligned with how we wanted to raise our kid with right amount of education plus other nurturing of talent that gets the best in …</t>
  </si>
  <si>
    <t>Software Engineer · Senior Test Lead · Ilink Digital Systems</t>
  </si>
  <si>
    <t>Software Engineer · Senior Associate · Cognizant</t>
  </si>
  <si>
    <t>We feel HLC will nurture our child’s curiosity, values, and foundational skills effectively.</t>
  </si>
  <si>
    <t>Shiv Ariyan A</t>
  </si>
  <si>
    <t>2026-01-06</t>
  </si>
  <si>
    <t>Business · Director · Amethyst Homes Pvt Limited</t>
  </si>
  <si>
    <t>Teacher · Teacher · Amethyst International School</t>
  </si>
  <si>
    <t>Teaching and academia</t>
  </si>
  <si>
    <t>19–60</t>
  </si>
  <si>
    <t>3 (Amethyst)</t>
  </si>
  <si>
    <t>I think HLC will help nurture my child's interest and passion for acquiring knowledge.</t>
  </si>
  <si>
    <t>Software Architect · Software Architect · IBM</t>
  </si>
  <si>
    <t>HomeMaker · NA · NA</t>
  </si>
  <si>
    <t>36–68</t>
  </si>
  <si>
    <t>I heard they are doing good</t>
  </si>
  <si>
    <t>Daksha Brinda</t>
  </si>
  <si>
    <t>2026-01-12</t>
  </si>
  <si>
    <t>Data Scientist · Co-founder · Earthmetry</t>
  </si>
  <si>
    <t>Manager - Operations Research · Manager · United Airlines</t>
  </si>
  <si>
    <t>I liked the idea of not inducing shame and respecting kids as mottos</t>
  </si>
  <si>
    <t>Kriya</t>
  </si>
  <si>
    <t>2026-01-18</t>
  </si>
  <si>
    <t>Engineer · Material Specialist · Renault Group</t>
  </si>
  <si>
    <t>Engineer · Tire Technologist · Apollo Tyres</t>
  </si>
  <si>
    <t>29–63</t>
  </si>
  <si>
    <t>Learning as a practice</t>
  </si>
  <si>
    <t>UKG  ·  21 applicants</t>
  </si>
  <si>
    <t>Atharva Shankaran K</t>
  </si>
  <si>
    <t>UKG</t>
  </si>
  <si>
    <t>Employed · Manager · Ernst &amp; Young</t>
  </si>
  <si>
    <t>Employed · Asst Manager · Northern Arc Capital Limited</t>
  </si>
  <si>
    <t>Besant Nagar</t>
  </si>
  <si>
    <t>D — Far (15–25 km)</t>
  </si>
  <si>
    <t>1 (Academic Year)</t>
  </si>
  <si>
    <t>When looking for a school for our son, we are looking for a balanced environment to provide formal education and personal growth. We look for an environment to …</t>
  </si>
  <si>
    <t>Riaan Karthickeyan</t>
  </si>
  <si>
    <t>Software Engineering Manager · Manager · Virtusa</t>
  </si>
  <si>
    <t>Home maker · Home maker · NA</t>
  </si>
  <si>
    <t>5 (Elegant Pinnacle)</t>
  </si>
  <si>
    <t>Quality and standards of education</t>
  </si>
  <si>
    <t>Great school</t>
  </si>
  <si>
    <t>Ashwin</t>
  </si>
  <si>
    <t>Working in a Private Firm · Director-Account Management · Violin Technologies Private Limited</t>
  </si>
  <si>
    <t>Home Maker · NA · NA</t>
  </si>
  <si>
    <t>50–100</t>
  </si>
  <si>
    <t>Cambridge, international curriculum, Interest and passion-led learning</t>
  </si>
  <si>
    <t>The principle of HLC leaning center is more in line to my requirement for growing my child in his own interest and passion rather than focusing 100% only on cur…</t>
  </si>
  <si>
    <t>Vihana Vijin</t>
  </si>
  <si>
    <t>IT Professional · Principle Software Engineer · Zuora India Pvt Ltd</t>
  </si>
  <si>
    <t>IT Professional · Techinical Specialist · CitiusTech Healthcare Ltd</t>
  </si>
  <si>
    <t>Stress-free, joyful learning, Experiential, hands-on learning</t>
  </si>
  <si>
    <t>My kid is curious about exploring and learning things, rather than memorizing facts. She would love education only if it keeps her happy and meaningful. We sele…</t>
  </si>
  <si>
    <t>Andhadhi D</t>
  </si>
  <si>
    <t>IT consultant · Solution Architect and MDM Practice head · Isnia Technologies Pvt Ltd</t>
  </si>
  <si>
    <t>IT consultant · Senior Technical Lead · HCLTech</t>
  </si>
  <si>
    <t>Holistic, all-round development, Interest and passion-led learning</t>
  </si>
  <si>
    <t>For a holistic approach and give equal importance to child's academy and her interest</t>
  </si>
  <si>
    <t>AARYANSH KUMAR BEHARA</t>
  </si>
  <si>
    <t>PRIVATE SECTOR EMPLOYEE · R&amp;D PROJECT MANAGER · HITACHI</t>
  </si>
  <si>
    <t>SOFTWARE ENGINEER · MANAGER · CAPGEMINI</t>
  </si>
  <si>
    <t>4 (Arasankalani)</t>
  </si>
  <si>
    <t>Holistic, all-round development, Quality and standards of education</t>
  </si>
  <si>
    <t>I am seeking HLC as a learning centre for my child because I believe it provides a strong balance between academic excellence and holistic development.</t>
  </si>
  <si>
    <t>Arju Akshith A N</t>
  </si>
  <si>
    <t>Private limited comapny · Senior Manager · KKN Energy pvt ltd</t>
  </si>
  <si>
    <t>IT · Engineer · Movate</t>
  </si>
  <si>
    <t>Kelambakkam</t>
  </si>
  <si>
    <t>Holistic, all-round development, Experiential, hands-on learning, Life skills, confidence, leadership, Interest and passion-led learning</t>
  </si>
  <si>
    <t>I want my child to have strong academics but also creative thinking, communication skills, emotional strength, and real-world understanding. HLC’s holistic lear…</t>
  </si>
  <si>
    <t>Pugalini</t>
  </si>
  <si>
    <t>IT Professional · Deputy Manager · Renault Nissan Tech</t>
  </si>
  <si>
    <t>Banking · Senior CSA · Indian Overseas Bank</t>
  </si>
  <si>
    <t>Mahindra World City</t>
  </si>
  <si>
    <t>E — Outside catchment (&gt;25 km)</t>
  </si>
  <si>
    <t>Holistic, all-round development, Values, nurturing environment and inclusion</t>
  </si>
  <si>
    <t>Considering the greater value assigned to holistic development than to academics</t>
  </si>
  <si>
    <t>Nithila Gokula Kannan</t>
  </si>
  <si>
    <t>Engineer · Project Management Lead · KLA</t>
  </si>
  <si>
    <t>Values, nurturing environment and inclusion, Life skills, confidence, leadership, Interest and passion-led learning</t>
  </si>
  <si>
    <t>With the help of the information and testimonials available on the school website, I strongly believe that HLC will lay a strong foundation for our daughter's o…</t>
  </si>
  <si>
    <t>Deeran Rajkumar</t>
  </si>
  <si>
    <t>2025-11-16</t>
  </si>
  <si>
    <t>SAI VIBISHA GV</t>
  </si>
  <si>
    <t>2025-11-17</t>
  </si>
  <si>
    <t>Data Engineering Professional · Senior Data Engineer(IC) · Octillion Media India Private Limited</t>
  </si>
  <si>
    <t>Home Maker · - · -</t>
  </si>
  <si>
    <t>Stated distance</t>
  </si>
  <si>
    <t>3 (Next Year)</t>
  </si>
  <si>
    <t>Values, nurturing environment and inclusion, Life skills, confidence, leadership</t>
  </si>
  <si>
    <t>To identify my daughter’s interests and nurture them and be a catalyst in achieving her goals to become a good human and a good leader.</t>
  </si>
  <si>
    <t>2025-11-22</t>
  </si>
  <si>
    <t>Data Engineering Professional · Manager, Data Engineering · Premion, LLC</t>
  </si>
  <si>
    <t>HOME MAKER · NA · NA</t>
  </si>
  <si>
    <t>1 (Vinayagar)</t>
  </si>
  <si>
    <t>Stress-free, joyful learning, Values, nurturing environment and inclusion, Interest and passion-led learning</t>
  </si>
  <si>
    <t>We want our child to develop the passion for learning along with nurturing her own interests. And I don't want my child to go through the same path, which I too…</t>
  </si>
  <si>
    <t>Pranav K P</t>
  </si>
  <si>
    <t>Engineer · Assistant Manager · Stellantis</t>
  </si>
  <si>
    <t>IT Analyst · Expert · DHL</t>
  </si>
  <si>
    <t>My son is empathetic and creative who thrives in an encouraging and positive environment. HLC's child - centric approach, focus on emotional wellbeing, and hand…</t>
  </si>
  <si>
    <t>Vedhashree Lokesh Kumar</t>
  </si>
  <si>
    <t>2025-11-27</t>
  </si>
  <si>
    <t>Private · Senior engineer · Renault Nissan Technologies businesses and center</t>
  </si>
  <si>
    <t>Private · Process development · Genpact</t>
  </si>
  <si>
    <t>17–43</t>
  </si>
  <si>
    <t>Unique way of teaching</t>
  </si>
  <si>
    <t>JIYAARA M</t>
  </si>
  <si>
    <t>2025-11-28</t>
  </si>
  <si>
    <t>SENIOR DESIGN ENGINEER · DESIGN ENGINEER · FORD TECHNOLOGY</t>
  </si>
  <si>
    <t>IT · SENIOR ASSOCIATE · COGNIZANT</t>
  </si>
  <si>
    <t>17–45</t>
  </si>
  <si>
    <t>Good exposure to my kid</t>
  </si>
  <si>
    <t>Prasiddha V</t>
  </si>
  <si>
    <t>2025-12-17</t>
  </si>
  <si>
    <t>IT Software developer · Project Manager · Intellect design arena</t>
  </si>
  <si>
    <t>Freelancer - Healer/ stay at home mom · Undertaking freelancing secretarial activities/ Intuitive healer/ chef · Freelancer</t>
  </si>
  <si>
    <t>Navalur</t>
  </si>
  <si>
    <t>9 (Olympia Opaline)</t>
  </si>
  <si>
    <t>Experiential, hands-on learning, Values, nurturing environment and inclusion, Cambridge, international curriculum, Life skills, confidence, leadership, Quality and standards of education, Interest and passion-led learning</t>
  </si>
  <si>
    <t>We're deeply rooted in our culture and values, and our parenting approach is about letting our child explore and learn through self-discovery rather than rigid,…</t>
  </si>
  <si>
    <t>RAJIHAH FATHIMA</t>
  </si>
  <si>
    <t>ARCHITECT · ARCHITECT · CHENNAI CITI CENTRE HOLDINGS PVT LTD</t>
  </si>
  <si>
    <t>HOUSE WIFE · HOUSE WIFE · HOUSE WIFE</t>
  </si>
  <si>
    <t>2 (Shifting)</t>
  </si>
  <si>
    <t>FOR BETTER CAREER AND GOOD FUTURE</t>
  </si>
  <si>
    <t>Sugan Stalin</t>
  </si>
  <si>
    <t>2025-12-21</t>
  </si>
  <si>
    <t>IT · Tech Specialist · Citius Tech</t>
  </si>
  <si>
    <t>IT · Software Engineer · Ness Digital Engineering</t>
  </si>
  <si>
    <t>Experiential, hands-on learning, Interest and passion-led learning</t>
  </si>
  <si>
    <t>We believe HLC provides our child with the foundation for a better future, fostering creativity and passion.</t>
  </si>
  <si>
    <t>K Tanvi</t>
  </si>
  <si>
    <t>Service · Sr. Manager · HCL Technologies</t>
  </si>
  <si>
    <t>Housemaker · N/A · N/A</t>
  </si>
  <si>
    <t>To seek a better a future and teach kids about ways of better ways living.</t>
  </si>
  <si>
    <t>AADHIR</t>
  </si>
  <si>
    <t>Compliance Professional · Vice President · Bank of New York</t>
  </si>
  <si>
    <t>Architect · Architect · Seed Design Solutions</t>
  </si>
  <si>
    <t>80–155</t>
  </si>
  <si>
    <t>5 (Are Based)</t>
  </si>
  <si>
    <t>Holistic, all-round development, Experiential, hands-on learning, Values, nurturing environment and inclusion</t>
  </si>
  <si>
    <t>As parents, we value the holistic development of our child and believe that every aspect of his growth matters. He is naturally curious, and we are keen to find…</t>
  </si>
  <si>
    <t>Abdul Ahad A</t>
  </si>
  <si>
    <t>2026-01-14</t>
  </si>
  <si>
    <t>Travel consultant · Holiday consultant · Orient Travels UAE</t>
  </si>
  <si>
    <t>Home maker · Home maker · House</t>
  </si>
  <si>
    <t>International curriculum</t>
  </si>
  <si>
    <t>Grade 1  ·  43 applicants</t>
  </si>
  <si>
    <t>Nikkit Adhikari</t>
  </si>
  <si>
    <t>Grade 1</t>
  </si>
  <si>
    <t>IT infrastructure manager · Asia Pacific IT Infrastructure manager · Valeo India private limited</t>
  </si>
  <si>
    <t>Software · International Market groups- IIoT project manager · Ford Motor Pvt Ltd</t>
  </si>
  <si>
    <t>42–86</t>
  </si>
  <si>
    <t>Holistic, all-round development, Stress-free, joyful learning, Experiential, hands-on learning, Life skills, confidence, leadership</t>
  </si>
  <si>
    <t>We chose HLC because we want our child to learn in a joyful and supportive environment. HLC’s focus on holistic development, creativity, and emotional well-bein…</t>
  </si>
  <si>
    <t>Nithilan Seshadri T K</t>
  </si>
  <si>
    <t>Business · Managing Director · Chennai Food Company</t>
  </si>
  <si>
    <t>IT Professional · Technology Specialist · Cognizant Technology Solutions Pvt Ltd</t>
  </si>
  <si>
    <t>33–85</t>
  </si>
  <si>
    <t>Child-centric, individual attention, Experiential, hands-on learning, Values, nurturing environment and inclusion, Cambridge, international curriculum</t>
  </si>
  <si>
    <t>We are approaching HLC International School as we value an approach that encourages curiosity-driven growth and inspired learning from an early age. From what w…</t>
  </si>
  <si>
    <t>Arko Bhattacharjee</t>
  </si>
  <si>
    <t>Engineer · Principal Engineer · Comcast India</t>
  </si>
  <si>
    <t>10 (Olympia Opaline)</t>
  </si>
  <si>
    <t>Experiential, hands-on learning, Values, nurturing environment and inclusion, Cambridge, international curriculum, Recommendation and reputation, Interest and passion-led learning</t>
  </si>
  <si>
    <t>From our review of the HLC website, we understand that the school emphasizes nurturing curiosity and passion in children over adhering to a rigid curriculum. Th…</t>
  </si>
  <si>
    <t>Arohi Bhattacharjee</t>
  </si>
  <si>
    <t>Aminta Belle Roy</t>
  </si>
  <si>
    <t>Software professional · Solutions Architect · Carrier corporation pvt ltd</t>
  </si>
  <si>
    <t>30–55</t>
  </si>
  <si>
    <t>Holistic, all-round development, Sibling or continuity</t>
  </si>
  <si>
    <t>We want a holistic development for our child, for we know hlc definitely provides it as we witness in our elder one who is 9th grade in hlc(Adona Celi Roy).</t>
  </si>
  <si>
    <t>N.NILAZHINI</t>
  </si>
  <si>
    <t>INFORMATIONAL TECHNOLOGY PROFESSIONAL · TECHNICAL MANAGER · HCL TECHNOLOGIES, ELCOT, SHOLINGANALLUR, CHENNAI</t>
  </si>
  <si>
    <t>HOME MAKER · NOT APPLICABLE · NOT APPLICABLE</t>
  </si>
  <si>
    <t>Holistic, all-round development, Experiential, hands-on learning, Sports and physical activity</t>
  </si>
  <si>
    <t>We believe that HCL provides holistic development, integrating academics with physical, emotional, and social growth for our child. Also beyond academics , to e…</t>
  </si>
  <si>
    <t>Nithin Sandeep</t>
  </si>
  <si>
    <t>Consultant · Sr. Consultant - Marketing Operations · Silicon Labs Inc.</t>
  </si>
  <si>
    <t>Home Maker · -na- · -na-</t>
  </si>
  <si>
    <t>Holistic, all-round development, Experiential, hands-on learning, Sports and physical activity, Interest and passion-led learning</t>
  </si>
  <si>
    <t>We believe HLC will be a great learning ground for our son and his holistic development. We want to provide him with the right environment to identify, explore,…</t>
  </si>
  <si>
    <t>DHANVANTH B</t>
  </si>
  <si>
    <t>Engineer · Project Manager - Digital Transformation · Saint Gobain India Pvt Ltd</t>
  </si>
  <si>
    <t>Dentist · Dentist · Self Employed</t>
  </si>
  <si>
    <t>41–93</t>
  </si>
  <si>
    <t>Mambakkam</t>
  </si>
  <si>
    <t>We believe HLC fosters value-for-life education, aiming to make children responsible, empathetic, and thought leaders—empowering them to positively impact socie…</t>
  </si>
  <si>
    <t>Kochezhiyan G</t>
  </si>
  <si>
    <t>EV Programme Manager · Manager · Royal Enfield</t>
  </si>
  <si>
    <t>I believe HLC do not only focus on academics but the independent development of the child as its purpose to make their children future leaders</t>
  </si>
  <si>
    <t>A Ryaan Antony</t>
  </si>
  <si>
    <t>Software engineer · Senior application developer · UPS Technologies India Pvt ltd</t>
  </si>
  <si>
    <t>Banker · Senior Associate · State Bank of India</t>
  </si>
  <si>
    <t>16–40</t>
  </si>
  <si>
    <t>2 (Courtyards Model)</t>
  </si>
  <si>
    <t>We believe Hlc provides a nurturing and inclusive environment where children are encouraged to explore and express themselves freely. We want our child to enjoy…</t>
  </si>
  <si>
    <t>ANSH</t>
  </si>
  <si>
    <t>SURGEON · SURGICAL SPECIALIST · INDIAN ARMY</t>
  </si>
  <si>
    <t>HOME MAKER · NIL · NIL</t>
  </si>
  <si>
    <t>HLC can cater to the varying physical activities and intellectual stimulus needed for my child</t>
  </si>
  <si>
    <t>Joshvika D S</t>
  </si>
  <si>
    <t>Engineer · Tech Lead - Telecom · Infinite Computer Solutions Limited</t>
  </si>
  <si>
    <t>Assistant professor · Homemaker · Homemaker</t>
  </si>
  <si>
    <t>28–60</t>
  </si>
  <si>
    <t>We feel this learning centre is going to be good for our child as be believe she would like the learning here and enjoy it.</t>
  </si>
  <si>
    <t>T.Nilan</t>
  </si>
  <si>
    <t>Software Engineer · Consultant · M&amp;N Technologies</t>
  </si>
  <si>
    <t>Holistic, all-round development, Child-centric, individual attention, Cambridge, international curriculum, Teachers and facilitators, Recommendation and reputation, Sibling or continuity, Interest and passion-led learning</t>
  </si>
  <si>
    <t>Ecofriendly environment, less student count in each class, more focused attention to individual students , talented and very friendly teachers and staffs, provi…</t>
  </si>
  <si>
    <t>Raana Kamal</t>
  </si>
  <si>
    <t>Engineer · Sr. Piping Engineer · Worley (OIL &amp; GAS)</t>
  </si>
  <si>
    <t>Operations · Sr. Implementation Analyst · NextGen Healthcare</t>
  </si>
  <si>
    <t>Egattur</t>
  </si>
  <si>
    <t>1 (Marina Mall)</t>
  </si>
  <si>
    <t>We are choosing HLC because we believe education today must prepare children for a rapidly changing world. We want our child to become a confident learner, adap…</t>
  </si>
  <si>
    <t>R. Dev Ayan</t>
  </si>
  <si>
    <t>Business · Proprietor · Entrepreneur</t>
  </si>
  <si>
    <t>IT Consulting · Solution Architect · Wipro India Pvt Ltd</t>
  </si>
  <si>
    <t>Holistic, all-round development, Experiential, hands-on learning, Values, nurturing environment and inclusion, Sports and physical activity, Interest and passion-led learning</t>
  </si>
  <si>
    <t>We believe that education is not merely academic oriented, but should focus on overall development of the child – physical, emotional, social aspects which are …</t>
  </si>
  <si>
    <t>Aarish KL</t>
  </si>
  <si>
    <t>Project Management · Manager · Royal Enfield</t>
  </si>
  <si>
    <t>Homemaker · Na · NA</t>
  </si>
  <si>
    <t>2 (Kms From)</t>
  </si>
  <si>
    <t>Cambridge, international curriculum, Life skills, confidence, leadership, Proximity and convenience</t>
  </si>
  <si>
    <t>1. HLC's vision of making future leaders, 2. Its curriculum of both academics and focus on self learning 3. Distance from home to school</t>
  </si>
  <si>
    <t>Alai Renuka Krishnamoorthy</t>
  </si>
  <si>
    <t>Business Owner · Franchisee Owner · Raack Academy of Dance</t>
  </si>
  <si>
    <t>Photographer · Principle Photographer · Own company</t>
  </si>
  <si>
    <t>Injambakkam</t>
  </si>
  <si>
    <t>Holistic, all-round development, Child-centric, individual attention, Experiential, hands-on learning, Interest and passion-led learning</t>
  </si>
  <si>
    <t>Alai is an extremely creative child. I believe in a well rounded education for both my kids, studying academia is not the only important thing, unless that's wh…</t>
  </si>
  <si>
    <t>Software engineer · Software architect · Persistent systems</t>
  </si>
  <si>
    <t>Software Engineer · Agile project manager · Sagent</t>
  </si>
  <si>
    <t>5 (Casa Grande)</t>
  </si>
  <si>
    <t>For a better and bright future</t>
  </si>
  <si>
    <t>SREE PADHMINI HK</t>
  </si>
  <si>
    <t>Engineer · Data Scientist · Caterpillar Inc</t>
  </si>
  <si>
    <t>Doctor · Homoeopathic physician · Online consultation</t>
  </si>
  <si>
    <t>29–75</t>
  </si>
  <si>
    <t>Selaiyur</t>
  </si>
  <si>
    <t>As parents, we have realized her potential, and we want her to cherish her capabilities herself. We wish that she grows into a smart, confident, and also compas…</t>
  </si>
  <si>
    <t>DWANI VINEETH</t>
  </si>
  <si>
    <t>Thejas M</t>
  </si>
  <si>
    <t>System Admin · System admin · HCL Tech</t>
  </si>
  <si>
    <t>Home maker · System admin · no</t>
  </si>
  <si>
    <t>6–15</t>
  </si>
  <si>
    <t>Give good education</t>
  </si>
  <si>
    <t>VIRAAN A</t>
  </si>
  <si>
    <t>S.Elijah Moses</t>
  </si>
  <si>
    <t>Venba Maniraja</t>
  </si>
  <si>
    <t>Telecom -IT · Senior Engineer Telecom Project Management · Nokia</t>
  </si>
  <si>
    <t>Information Technology · IT Project Manager · Technip Energies</t>
  </si>
  <si>
    <t>1 (Planning Shift)</t>
  </si>
  <si>
    <t>We are looking for a school which provides holistic development for the child. We are expecting the Child should to evolve as a better human with socio emotiona…</t>
  </si>
  <si>
    <t>THEJAS M</t>
  </si>
  <si>
    <t>IT · SYSTEM ADMIN · HCL TECK</t>
  </si>
  <si>
    <t>HOME MAKER · NO · NO</t>
  </si>
  <si>
    <t>PIN 600130</t>
  </si>
  <si>
    <t>To give a better Futcher for my child</t>
  </si>
  <si>
    <t>R.Krishank</t>
  </si>
  <si>
    <t>Software Professional · Deputy Manager · Renault Nissan Technology Business India Pvt Ltd</t>
  </si>
  <si>
    <t>21–43</t>
  </si>
  <si>
    <t>Holistic, all-round development, Cambridge, international curriculum, Proximity and convenience</t>
  </si>
  <si>
    <t>IGCSE Curriculum, Holistic development of Kid, Near to our residence</t>
  </si>
  <si>
    <t>GRITHIK SAI.R</t>
  </si>
  <si>
    <t>MARKETING MANAGER · AREA SALES MANAGER · AXIS ELECTRICAL COMPONENTS (I) PVT LTD</t>
  </si>
  <si>
    <t>SOFTWARE ENGINEER · SENIOR ASSOCIATE · COGNIZANT TECHNOLOGY SOLUTIONS</t>
  </si>
  <si>
    <t>3 (Yes Are)</t>
  </si>
  <si>
    <t>It has come to our attention that HCL prioritizes nurturing a child's interests instead of compelling them to engage in predetermined activities.</t>
  </si>
  <si>
    <t>Jayden Flint</t>
  </si>
  <si>
    <t>Software Engineer · Engineering Manager · Freshworks</t>
  </si>
  <si>
    <t>Software Engineer · PMO · Tech Mahindra</t>
  </si>
  <si>
    <t>Mogappair</t>
  </si>
  <si>
    <t>Holistic, all-round development, Child-centric, individual attention, Experiential, hands-on learning, Values, nurturing environment and inclusion, Life skills, confidence, leadership</t>
  </si>
  <si>
    <t>We are seeking HLC as a learning centre because we believe in an education that goes beyond textbooks. HLC’s child-centric and experiential approach aligns with…</t>
  </si>
  <si>
    <t>V Rudhran</t>
  </si>
  <si>
    <t>Supply chain · Manager · Ford</t>
  </si>
  <si>
    <t>Career break · HR as profession · Currently not working</t>
  </si>
  <si>
    <t>27–58</t>
  </si>
  <si>
    <t>Child-centric, individual attention, Experiential, hands-on learning, Life skills, confidence, leadership</t>
  </si>
  <si>
    <t>We are seeking HLC for our son because we want him to learn in an environment that encourages curiosity, independence, and confidence. HLC’s approach of valuing…</t>
  </si>
  <si>
    <t>THAZHALAN R</t>
  </si>
  <si>
    <t>Private · Deputy manager · Ford pvt</t>
  </si>
  <si>
    <t>None · None · None</t>
  </si>
  <si>
    <t>It's nearby to our new house</t>
  </si>
  <si>
    <t>2025-11-24</t>
  </si>
  <si>
    <t>Holistic, all-round development, Child-centric, individual attention, Experiential, hands-on learning, Values, nurturing environment and inclusion, Life skills, confidence, leadership, Quality and standards of education</t>
  </si>
  <si>
    <t>We are seeking HLC as a learning centre because we believe its educational philosophy and approach to holistic development align with our aspirations for our ch…</t>
  </si>
  <si>
    <t>Nitaara Vinod</t>
  </si>
  <si>
    <t>2025-12-02</t>
  </si>
  <si>
    <t>Indian Army Officer · Lt Col · Indian Army</t>
  </si>
  <si>
    <t>Media and Communication · Media and Content Manager · American International School Chennai</t>
  </si>
  <si>
    <t>Government and defence</t>
  </si>
  <si>
    <t>Child-centric, individual attention, Stress-free, joyful learning, Experiential, hands-on learning, Values, nurturing environment and inclusion, Life skills, confidence, leadership</t>
  </si>
  <si>
    <t>We are seeking HLC for our younger daughter because its philosophy aligns with the way we want her to grow and learn. At this stage, we want a school that nurtu…</t>
  </si>
  <si>
    <t>Vaishnavi Venkatesh</t>
  </si>
  <si>
    <t>D. VRUSHI MAHADEEP</t>
  </si>
  <si>
    <t>MARINE ENGINEER · 1st Assistant Engg · MOL Maritime (India) Pvt. Ltd.</t>
  </si>
  <si>
    <t>Holistic, all-round development, Child-centric, individual attention, Life skills, confidence, leadership</t>
  </si>
  <si>
    <t>We feel HLC’s child-centered and supportive environment will help Vrushi grow confidently. He is active, thoughtful and dedicated, and we believe HLC’s approach…</t>
  </si>
  <si>
    <t>MATHISHA</t>
  </si>
  <si>
    <t>2025-12-04</t>
  </si>
  <si>
    <t>SOFTWARE · MANAGER · VIAVI NETWORKS</t>
  </si>
  <si>
    <t>SOFTWARE · MANAGER · NOKIA</t>
  </si>
  <si>
    <t>Empathetic, Creative and Collaborative</t>
  </si>
  <si>
    <t>Raghav Vignesh</t>
  </si>
  <si>
    <t>2025-12-05</t>
  </si>
  <si>
    <t>IT · Data Analyst · Cyncly</t>
  </si>
  <si>
    <t>IT · Program Manager · Citibank</t>
  </si>
  <si>
    <t>44–88</t>
  </si>
  <si>
    <t>1 (Next Year)</t>
  </si>
  <si>
    <t>Holistic, all-round development, Stress-free, joyful learning, Experiential, hands-on learning, Values, nurturing environment and inclusion, Cambridge, international curriculum, Life skills, confidence, leadership</t>
  </si>
  <si>
    <t>We are seeking an institution where our kid can enjoy learning rather being coerced into. IGSCE Cambridge curriculum interests us as it is more adapted to the c…</t>
  </si>
  <si>
    <t>Guru Pranav G</t>
  </si>
  <si>
    <t>2025-12-07</t>
  </si>
  <si>
    <t>Software Engineer · IT Analyst · TCS</t>
  </si>
  <si>
    <t>Software Engineer · Software Analyst · Intellect</t>
  </si>
  <si>
    <t>1 (Dra Centralia)</t>
  </si>
  <si>
    <t>Child-centric, individual attention, Stress-free, joyful learning, Experiential, hands-on learning, Life skills, confidence, leadership</t>
  </si>
  <si>
    <t>We chose HLC because of its child centered and experiential learning approach. We want our child to learn with curiosity and joy, grow confidently, and develop …</t>
  </si>
  <si>
    <t>Dhanish S</t>
  </si>
  <si>
    <t>2025-12-09</t>
  </si>
  <si>
    <t>IT · Manager · Freshworks</t>
  </si>
  <si>
    <t>IT · Test lead · HCL</t>
  </si>
  <si>
    <t>2 (Greenville Nesamani)</t>
  </si>
  <si>
    <t>Feedback about the school has been great related to the importance on child growth and the teaching method</t>
  </si>
  <si>
    <t>Hayanthikaa Nesakkannan</t>
  </si>
  <si>
    <t>2025-12-13</t>
  </si>
  <si>
    <t>IT · Lead · Private sector</t>
  </si>
  <si>
    <t>Teacher · Teacher · Private</t>
  </si>
  <si>
    <t>22–45</t>
  </si>
  <si>
    <t>To give a positive learning</t>
  </si>
  <si>
    <t>K.P.Mithun Chakaravarthy</t>
  </si>
  <si>
    <t>2025-12-24</t>
  </si>
  <si>
    <t>IT Professional · Solutions Architect · Freshworks Technologies</t>
  </si>
  <si>
    <t>IT Professional · IT Analyst · TCS</t>
  </si>
  <si>
    <t>3 (Casagrand Supremus)</t>
  </si>
  <si>
    <t>Stress-free, joyful learning, Values, nurturing environment and inclusion, Life skills, confidence, leadership</t>
  </si>
  <si>
    <t>We chose HLC because it feels like a place where children are understood as individuals. We want our child to enjoy learning, ask questions freely, and grow wit…</t>
  </si>
  <si>
    <t>Mahasvin A</t>
  </si>
  <si>
    <t>2026-01-02</t>
  </si>
  <si>
    <t>Business · Manager · Self employed</t>
  </si>
  <si>
    <t>Tax consultant · Senior Accounting Supervisor · eBay</t>
  </si>
  <si>
    <t>36–93</t>
  </si>
  <si>
    <t>Anna Nagar</t>
  </si>
  <si>
    <t>1 (Relocate)</t>
  </si>
  <si>
    <t>We are looking at HLC because we are not only searching for a school that teaches academics — we are searching for a place that supports what kind of human bein…</t>
  </si>
  <si>
    <t>Sinamikka B</t>
  </si>
  <si>
    <t>Senior Specialist- Telecom · Senior Specialist · Nokia</t>
  </si>
  <si>
    <t>Senior Consultant in MDM · Senior Consultant · MSG Global</t>
  </si>
  <si>
    <t>Cambridge, international curriculum, Proximity and convenience</t>
  </si>
  <si>
    <t>Located within the range of our preferred location and expected curriculum is being offered.</t>
  </si>
  <si>
    <t>Grade 2  ·  22 applicants</t>
  </si>
  <si>
    <t>Dhruvin Aakanksh</t>
  </si>
  <si>
    <t>Grade 2</t>
  </si>
  <si>
    <t>Software Engineer · Technical Specialist · Nokia Networks</t>
  </si>
  <si>
    <t>Software Engineer · Lead Quality Analyst · HID Global</t>
  </si>
  <si>
    <t>Personal development and growth</t>
  </si>
  <si>
    <t>Jia Sivaramakrishnan</t>
  </si>
  <si>
    <t>Software Engineer · Software Engineer 2A · Bank of America Continuum</t>
  </si>
  <si>
    <t>Home-Baker · Proprietor · Fairy’s Cookie</t>
  </si>
  <si>
    <t>Holistic, all-round development, Values, nurturing environment and inclusion, Life skills, confidence, leadership, Interest and passion-led learning</t>
  </si>
  <si>
    <t>We chose HLC because we want our child to grow up in an environment that encourages in holistic education. We believe HLC’s approach will develop our child’s co…</t>
  </si>
  <si>
    <t>Kabir Apparajith</t>
  </si>
  <si>
    <t>IT · Product manager · Maersk</t>
  </si>
  <si>
    <t>IT · Delivery manager · Wipro LTD</t>
  </si>
  <si>
    <t>Stress-free, joyful learning, Values, nurturing environment and inclusion</t>
  </si>
  <si>
    <t>We want our child to bloom and thrive in a fear free nurturing school environment. We strongly believe that empathy and reverance towards nature and fellow bein…</t>
  </si>
  <si>
    <t>Nivrithi Balaji</t>
  </si>
  <si>
    <t>Software Engineer · Assistant Vice President · BNP Paribas India Solutions</t>
  </si>
  <si>
    <t>Teacher · N/A · N/A</t>
  </si>
  <si>
    <t>54–110</t>
  </si>
  <si>
    <t>Holistic, all-round development, Experiential, hands-on learning, Values, nurturing environment and inclusion, Life skills, confidence, leadership, Recommendation and reputation</t>
  </si>
  <si>
    <t>After exploring schools in our neighbourhood, I feel HLC is the best fit for my child. I appreciate the focus on holistic development, curiosity, and independen…</t>
  </si>
  <si>
    <t>Nandhan Vettrivel.D</t>
  </si>
  <si>
    <t>SOFTWARE ENGINEER · SENIOR TECHNICAL SPECIALIST · NOKIA</t>
  </si>
  <si>
    <t>ORTHODONTIST · CLINICAL DIRECTOR · SMILE STUDIO THE DENTISTA</t>
  </si>
  <si>
    <t>1 (Akshaya Adair)</t>
  </si>
  <si>
    <t>Holistic, all-round development, Child-centric, individual attention, Values, nurturing environment and inclusion</t>
  </si>
  <si>
    <t>We appreciate the centre's focus on holistic learning and its emphasis on mutual respect and empathy, we want our child to grow in an environment that values co…</t>
  </si>
  <si>
    <t>R.Dhuruv</t>
  </si>
  <si>
    <t>Software Engineer · Senior Lead · Tata Communications</t>
  </si>
  <si>
    <t>Software Engineer · Lead · HCL</t>
  </si>
  <si>
    <t>Experiential, hands-on learning, Life skills, confidence, leadership, Interest and passion-led learning</t>
  </si>
  <si>
    <t>HLC offers a balanced environment where children learn academics, explore their interests, and grow with confidence. That’s the kind of schooling I want for my …</t>
  </si>
  <si>
    <t>S.Divesh</t>
  </si>
  <si>
    <t>CHIEF PRODUCT OFFICER · CPO · D3Minds cyber solution</t>
  </si>
  <si>
    <t>HR · Director - Human Resources · D3minds cyber solution pvt ltd</t>
  </si>
  <si>
    <t>100–200</t>
  </si>
  <si>
    <t>In current circumstances, I want a school environment where my child has the dimension to grow in a holistic way and not only on mark based learning..and I beli…</t>
  </si>
  <si>
    <t>Imai Renuka Krishnamoorthy</t>
  </si>
  <si>
    <t>We believe in a well rounded education and not just academia. We believe a good human being is a successful one. Kindness, compassion, honesty, empathy, convers…</t>
  </si>
  <si>
    <t>Meera V</t>
  </si>
  <si>
    <t>HR · Leading Talent Development team · Mindsprint</t>
  </si>
  <si>
    <t>Assistant Professor · Assistant Professor · AVIT</t>
  </si>
  <si>
    <t>Holistic, all-round development, Experiential, hands-on learning, Values, nurturing environment and inclusion, Cambridge, international curriculum, Life skills, confidence, leadership, Quality and standards of education, Special needs support</t>
  </si>
  <si>
    <t>I am seeking HLC for my child because it offers a holistic, values-driven education that nurtures creativity, empathy, and leadership. The school's learner-cent…</t>
  </si>
  <si>
    <t>Ashok Appasamy</t>
  </si>
  <si>
    <t>Mechanical Engineer · Senior Design Engineer · Caterpillar India Private Limited</t>
  </si>
  <si>
    <t>Software Engineer · Technical lead · HCL Technologies</t>
  </si>
  <si>
    <t>27–60</t>
  </si>
  <si>
    <t>Holistic, all-round development, Child-centric, individual attention, Experiential, hands-on learning, Values, nurturing environment and inclusion, Life skills, confidence, leadership, Recommendation and reputation</t>
  </si>
  <si>
    <t>We choose your school because you go beyond academics — meaning you prepare children to become tomorrow’s leaders. We see and heard that every aspect of your pr…</t>
  </si>
  <si>
    <t>M.Mahil Mithiran</t>
  </si>
  <si>
    <t>IF Professional · Tech Lead · TECH MAHINDRA</t>
  </si>
  <si>
    <t>IT Professional · Tech Lead · DXC Technologies</t>
  </si>
  <si>
    <t>I am seeking HLC as a learning centre for my child because its child-centred, experiential approach aligns with how my child learns best. HLC’s emphasis on curi…</t>
  </si>
  <si>
    <t>Mihika Mokkapati</t>
  </si>
  <si>
    <t>IT Manager · Technical Project Manager · Tropoleap Pvt. Ltd.</t>
  </si>
  <si>
    <t>Data Scientist · Data Scientist · LTI Mindtree</t>
  </si>
  <si>
    <t>Recommendation and reputation, Sibling or continuity</t>
  </si>
  <si>
    <t>My sister`s child studies in HLC and I have heard a lot of good things to be a part of HLC. Really eager for my child to receive such good form of education.</t>
  </si>
  <si>
    <t>Veronica S Roy</t>
  </si>
  <si>
    <t>Service · Software Engineer · HCL</t>
  </si>
  <si>
    <t>Service · Head of SWS · COWI</t>
  </si>
  <si>
    <t>58–120</t>
  </si>
  <si>
    <t>Kottivakkam</t>
  </si>
  <si>
    <t>We’re seeking HLC for our daughter because we believe it offers an environment where she can truly thrive. She’s a curious, artistic, and sometimes shy child, a…</t>
  </si>
  <si>
    <t>Deekshant Karthik</t>
  </si>
  <si>
    <t>Varshithaa</t>
  </si>
  <si>
    <t>Software Engineer · Software Development Manager · NTT Data</t>
  </si>
  <si>
    <t>Tailor · Tailor works at home · Home</t>
  </si>
  <si>
    <t>I want my child to develop holistically not just being a book worm</t>
  </si>
  <si>
    <t>Amizhthini U</t>
  </si>
  <si>
    <t>FINANCIAL CONSULTANT · FOUNDER · SILVER OAK CAPITAL</t>
  </si>
  <si>
    <t>FINANCIAL CONSULTANT · CO-FOUNDER · SILVER OAK CAPITAL</t>
  </si>
  <si>
    <t>Nookampalayam</t>
  </si>
  <si>
    <t>I want my child to think independent and do what she loved to do.</t>
  </si>
  <si>
    <t>B.Srivatsan</t>
  </si>
  <si>
    <t>PUGAZHINI V</t>
  </si>
  <si>
    <t>2025-12-19</t>
  </si>
  <si>
    <t>IT · ARCHITECT · VALEO INDIA PRIVATE LIMITED</t>
  </si>
  <si>
    <t>HOUSE MAKER · NONE · NONE</t>
  </si>
  <si>
    <t>I dont want my kid to be taught in competitive environment. The learning of the concepts should evolve naturally with the application and not by forcing. I unde…</t>
  </si>
  <si>
    <t>A. Jashwanth</t>
  </si>
  <si>
    <t>Software Engineer · Associate Manager · Agilysys</t>
  </si>
  <si>
    <t>Software Engineer · Software Developer · BOA</t>
  </si>
  <si>
    <t>Supportive culture for his passion and growth</t>
  </si>
  <si>
    <t>Raghunandhan</t>
  </si>
  <si>
    <t>IT Professional · Project Manager · L&amp;T Technology Solutions</t>
  </si>
  <si>
    <t>IT Professional · Associate Tech Lead · Trantor Software Private Limited</t>
  </si>
  <si>
    <t>We chose your school for its approach to the way of learning. Rather than concentrating wholly on academics, I want my son to learn and experience various thing…</t>
  </si>
  <si>
    <t>A.Sai Aadithya</t>
  </si>
  <si>
    <t>Software Engineer · Senior Scrum Master · Brillio Technologies</t>
  </si>
  <si>
    <t>Software engineer · Testing Engineer · Helixo tech technologies</t>
  </si>
  <si>
    <t>Provides all possible ways and opportunities for my child to grow his or her own skills .</t>
  </si>
  <si>
    <t>Grade 3  ·  22 applicants</t>
  </si>
  <si>
    <t>Ira Narendran</t>
  </si>
  <si>
    <t>Grade 3</t>
  </si>
  <si>
    <t>IT Professional · Scrum Master/Project Manager · NatWest Group, Chennai</t>
  </si>
  <si>
    <t>IT Professional · Senior Product Specialist · Cognizant Technology Solutions</t>
  </si>
  <si>
    <t>2 (Tvh Taus)</t>
  </si>
  <si>
    <t>Child-centric, individual attention, Experiential, hands-on learning, Values, nurturing environment and inclusion, Cambridge, international curriculum, Life skills, confidence, leadership, Recommendation and reputation</t>
  </si>
  <si>
    <t>When we began searching for a school for Ira, we wanted to move away from the conventional academic race where children are often trained to simply follow instr…</t>
  </si>
  <si>
    <t>B.CYRIL</t>
  </si>
  <si>
    <t>IT Professional · MANAGER · TCS SIRUSERI</t>
  </si>
  <si>
    <t>Experiential, hands-on learning, Teachers and facilitators, Proximity and convenience</t>
  </si>
  <si>
    <t>Cyril is an inquisitive child. His curiosity is evident in the way he shoots his questionnaire to gain knowledge in any topic that facinates him.This attitude o…</t>
  </si>
  <si>
    <t>KANILYAN M</t>
  </si>
  <si>
    <t>SOFTWARE ENGINEERING · PRODUCT MANAGER · TEKION</t>
  </si>
  <si>
    <t>SOFTWARE ENGINEERING · DESIGNER · NIRALCUBE</t>
  </si>
  <si>
    <t>Medavakkam</t>
  </si>
  <si>
    <t>Values, nurturing environment and inclusion, Cambridge, international curriculum, Life skills, confidence, leadership, Interest and passion-led learning</t>
  </si>
  <si>
    <t>We’re seeking admission to HLC International because we value the school’s progressive teaching methods, balanced academics, and commitment to developing confid…</t>
  </si>
  <si>
    <t>Rudransh Kumar</t>
  </si>
  <si>
    <t>Product Manager · Director · Fidelity Investments</t>
  </si>
  <si>
    <t>House Wife · Homemaker · N/A</t>
  </si>
  <si>
    <t>3 (Pinewood)</t>
  </si>
  <si>
    <t>Experiential, hands-on learning, Values, nurturing environment and inclusion, Life skills, confidence, leadership, Sports and physical activity, Interest and passion-led learning</t>
  </si>
  <si>
    <t>We’re drawn to HLC because of its inspiring vision to turn curious learners into mindful leaders. Our child is naturally inquisitive and curious, and we want hi…</t>
  </si>
  <si>
    <t>We’re drawn to HLC because of its inspiring vision to turn curious learners into mindful leaders. Our child is naturally inquisitive, and we want them to be in …</t>
  </si>
  <si>
    <t>Rafan Sadiq</t>
  </si>
  <si>
    <t>IT · Manager · Corporate</t>
  </si>
  <si>
    <t>IT · Software Engineer · Corporate</t>
  </si>
  <si>
    <t>A budding entrepreneur or a leader or a inventor but not any one who just scores in exam</t>
  </si>
  <si>
    <t>S Niranjan</t>
  </si>
  <si>
    <t>SAI RAAGAV M</t>
  </si>
  <si>
    <t>IT PROFESSIONAL · SENIOR MANAGER · COGNIZANT</t>
  </si>
  <si>
    <t>HOME MAKER · HOME MAKER · HOME MAKER</t>
  </si>
  <si>
    <t>Holistic, all-round development, Life skills, confidence, leadership</t>
  </si>
  <si>
    <t>We as parents had a profound influence by looking at the mission and vision of the school. Wherein the focus is more of holistic growth and building a leader. A…</t>
  </si>
  <si>
    <t>Sri Vishwam S</t>
  </si>
  <si>
    <t>Gazetted Officer · Tahsildar · Kamuthi</t>
  </si>
  <si>
    <t>Business · Proprietor · Chennai</t>
  </si>
  <si>
    <t>Teaching Methodology is good.</t>
  </si>
  <si>
    <t>Thaman D</t>
  </si>
  <si>
    <t>Taarika G</t>
  </si>
  <si>
    <t>Srihan B.N.</t>
  </si>
  <si>
    <t>Engineer working in IT Products/Services - Product Management · Principal Product Manager · Chargebee</t>
  </si>
  <si>
    <t>Engineer - IT Products/Services - Project Management · Senior Business Analyst · Atos</t>
  </si>
  <si>
    <t>51–118</t>
  </si>
  <si>
    <t>Child-centric, individual attention, Stress-free, joyful learning, Experiential, hands-on learning, Values, nurturing environment and inclusion, Sports and physical activity</t>
  </si>
  <si>
    <t>Simply put, we are looking for an environment where a curious 7 year old is not afraid to make mistakes. The biggest motivation for us as parents is to see our …</t>
  </si>
  <si>
    <t>MAHIZHINI U</t>
  </si>
  <si>
    <t>i want my children to think and act on their own , they should do what they are good at.</t>
  </si>
  <si>
    <t>Ruthran Vishwa V</t>
  </si>
  <si>
    <t>Salaried · Manager · Cognizant</t>
  </si>
  <si>
    <t>Salaried · Team Lead · Virtusa</t>
  </si>
  <si>
    <t>For the curriculum</t>
  </si>
  <si>
    <t>K.Makizhan</t>
  </si>
  <si>
    <t>Software engineer · Principal engineer · Comcast</t>
  </si>
  <si>
    <t>Home maker · NA · NA</t>
  </si>
  <si>
    <t>For the purpose of enhancing education.</t>
  </si>
  <si>
    <t>Vishrutha Sai</t>
  </si>
  <si>
    <t>2025-12-28</t>
  </si>
  <si>
    <t>Director · Solution Architecture · Fidelity Investments</t>
  </si>
  <si>
    <t>Pudupakkam</t>
  </si>
  <si>
    <t>Child-centric, individual attention, Stress-free, joyful learning, Experiential, hands-on learning, Values, nurturing environment and inclusion</t>
  </si>
  <si>
    <t>We are seeking HLC because we want a learning environment that prioritizes individual attention and social-emotional growth over rote academics for our 7 year o…</t>
  </si>
  <si>
    <t>Iyal</t>
  </si>
  <si>
    <t>Self employed · Director · Self</t>
  </si>
  <si>
    <t>15–50</t>
  </si>
  <si>
    <t>For a holistic learning experience</t>
  </si>
  <si>
    <t>N.D.PARVESH RAJAJI</t>
  </si>
  <si>
    <t>MANAGER · MANAGER · UFOMOVIES LTD</t>
  </si>
  <si>
    <t>SENIOR EXECUTIVE · SENIOR EXECUTIVE · VJ ASSOCIATES</t>
  </si>
  <si>
    <t>TO GIVE MY CHILD TH EBEST EDUCATION WHAT HE LOVES..</t>
  </si>
  <si>
    <t>Adhvika A</t>
  </si>
  <si>
    <t>Experiential, hands-on learning, Values, nurturing environment and inclusion, Interest and passion-led learning</t>
  </si>
  <si>
    <t>We feel that HLC is a place which will nurture my kid's passion and creative Skill</t>
  </si>
  <si>
    <t>kavin Mohana Babu</t>
  </si>
  <si>
    <t>Tayeebah A</t>
  </si>
  <si>
    <t>Looking for International Curriculum</t>
  </si>
  <si>
    <t>Ritthiksha Braveen Rajesh</t>
  </si>
  <si>
    <t>Software Engineer · Lead Developer · Tata Consultancy Services</t>
  </si>
  <si>
    <t>Stress-free, joyful learning, Experiential, hands-on learning, Proximity and convenience, Sibling or continuity, Interest and passion-led learning</t>
  </si>
  <si>
    <t>We are currently residing in Gothenburg,Sweden and the Kid is currently studying in ISGR(IB Syllabus), so we wanted to enroll her in your esteemed institution t…</t>
  </si>
  <si>
    <t>Grade 4  ·  27 applicants</t>
  </si>
  <si>
    <t>Anirudh Venkata Gokul</t>
  </si>
  <si>
    <t>Grade 4</t>
  </si>
  <si>
    <t>K.Pragna</t>
  </si>
  <si>
    <t>Software Engineer · Project Manager · Aspire Systems</t>
  </si>
  <si>
    <t>Content Writer · Freelance long form Content Writer · Freelance</t>
  </si>
  <si>
    <t>My child is passionate about Bhartanatyam, Art and Craft and indeed good in studies. She is a curious girl and loves exploring and learning new things along the…</t>
  </si>
  <si>
    <t>Dhanvin D</t>
  </si>
  <si>
    <t>IT consultant · Solution Architect &amp; MDM Practice Lead · Isnia Technologies Pvt Ltd</t>
  </si>
  <si>
    <t>Sports and physical activity, Interest and passion-led learning</t>
  </si>
  <si>
    <t>We wanted to give equal priority to academy and my child's interest. Not to pressurize on exams. When we searched for schools with good ground, HLC is one of th…</t>
  </si>
  <si>
    <t>M Krishiv</t>
  </si>
  <si>
    <t>IT · Head of Test and Assurnace · Intellect Design Arena</t>
  </si>
  <si>
    <t>House Wife · N/A · N/A</t>
  </si>
  <si>
    <t>Holistic, all-round development, Values, nurturing environment and inclusion, Cambridge, international curriculum</t>
  </si>
  <si>
    <t>We want HLC because we believe in their focus on the whole child, not just subjects. We value that the curriculum supports what interests our child and teaches …</t>
  </si>
  <si>
    <t>Uthara Pasumkuzhali S</t>
  </si>
  <si>
    <t>IT Engineer · Product Manager · FORD IT Services</t>
  </si>
  <si>
    <t>IT Engineer · Senior Consultant · DHL IT Services</t>
  </si>
  <si>
    <t>PIN 600126</t>
  </si>
  <si>
    <t>1 (Vengaivasal)</t>
  </si>
  <si>
    <t>Stress-free, joyful learning, Experiential, hands-on learning, Interest and passion-led learning</t>
  </si>
  <si>
    <t>As parents, We want our child to be in a place where learning is joyful, curiosity is encouraged, and individual strengths are recognized.</t>
  </si>
  <si>
    <t>Rishabh</t>
  </si>
  <si>
    <t>Mahilan R</t>
  </si>
  <si>
    <t>Yannis Tesla</t>
  </si>
  <si>
    <t>Doctor · Senior Scientist · Indian Council of Medial Research - NIRT Chennai</t>
  </si>
  <si>
    <t>Engineer · nil · nil</t>
  </si>
  <si>
    <t>Vellore</t>
  </si>
  <si>
    <t>HLC will be a good platform for our kids. It is in the IGCSE syllabus. So, we are considering it.</t>
  </si>
  <si>
    <t>VEDYUT ERRAN DP</t>
  </si>
  <si>
    <t>WORKING · AGM- PROJECT · URBANRISE</t>
  </si>
  <si>
    <t>HOUSE WIFE · NA · NA</t>
  </si>
  <si>
    <t>Ponmar</t>
  </si>
  <si>
    <t>MY SON WANTS TO GROW ON IS OWN MIND AND NEED TO BE LEADER ON HIS OWN PATH AND I WANT MY SON TO THINK ON HIS OWN IN ALL THE SITUATION .</t>
  </si>
  <si>
    <t>Rithvik P</t>
  </si>
  <si>
    <t>Software engineer · Team lead · RNTBCI ( Renault Nissan )</t>
  </si>
  <si>
    <t>Software engineer · Software tester · Amazon development center</t>
  </si>
  <si>
    <t>To improvise childs skills in all aspects</t>
  </si>
  <si>
    <t>Aneeka Rajesh</t>
  </si>
  <si>
    <t>Business · CEO · Own company</t>
  </si>
  <si>
    <t>Housewife · Mother · NIl</t>
  </si>
  <si>
    <t>develop their interest rather than studying.</t>
  </si>
  <si>
    <t>Yugan Sethuraja</t>
  </si>
  <si>
    <t>Private Job · Process · Tata Consultancy</t>
  </si>
  <si>
    <t>I am seeking HLC School as a learning centre for my child because I believe the school offers a balanced environment where academics, discipline, and overall de…</t>
  </si>
  <si>
    <t>Akhil</t>
  </si>
  <si>
    <t>2025-12-10</t>
  </si>
  <si>
    <t>I.T Employee · Technical Analyst · TCS</t>
  </si>
  <si>
    <t>Not working · No · Not working</t>
  </si>
  <si>
    <t>Heard good review from the parents</t>
  </si>
  <si>
    <t>K.Lakshara</t>
  </si>
  <si>
    <t>IT professional · Platform Engineer · Standard chartered global business services</t>
  </si>
  <si>
    <t>Holistic, all-round development, Stress-free, joyful learning, Experiential, hands-on learning, Values, nurturing environment and inclusion, Cambridge, international curriculum, Sibling or continuity, Quality and standards of education, Interest and passion-led learning</t>
  </si>
  <si>
    <t>Our daughter is currently studying under the CBSE curriculum. While we appreciate the academic structure, we have observed that the current school environment—s…</t>
  </si>
  <si>
    <t>Rhea Ashwin Valecha</t>
  </si>
  <si>
    <t>Marketing Professional · Head · Infinitheism</t>
  </si>
  <si>
    <t>HR Professional · Head, Assistant Vice President · Refex Group</t>
  </si>
  <si>
    <t>Outside Chennai</t>
  </si>
  <si>
    <t>Holistic, all-round development, Child-centric, individual attention, Stress-free, joyful learning, Experiential, hands-on learning, Values, nurturing environment and inclusion, Cambridge, international curriculum, Life skills, confidence, leadership, Teachers and facilitators</t>
  </si>
  <si>
    <t>We are seeking HLC International School as a learning centre for our child because of its strong alignment with a holistic, child-centred, and internationally b…</t>
  </si>
  <si>
    <t>Rayhan W</t>
  </si>
  <si>
    <t>Software Engineer · Delivery Manager · Ford Technologies</t>
  </si>
  <si>
    <t>Photographer · Founder · Oh My Baby Photography Studio</t>
  </si>
  <si>
    <t>86–168</t>
  </si>
  <si>
    <t>Child-centric, individual attention, Values, nurturing environment and inclusion</t>
  </si>
  <si>
    <t>We are impressed by HLC’s child-centric learning methodology and its non-commercial outlook, which clearly sets it apart from other institutions. These values s…</t>
  </si>
  <si>
    <t>RABIYA FATHIMA</t>
  </si>
  <si>
    <t>FOR BETTER CAREER</t>
  </si>
  <si>
    <t>Vilva karthikkumar</t>
  </si>
  <si>
    <t>Business · Director · Accurate springs pvt ltd</t>
  </si>
  <si>
    <t>Entrepreneur · Correspondent · The Montessori House</t>
  </si>
  <si>
    <t>Holistic, all-round development, Values, nurturing environment and inclusion, Interest and passion-led learning</t>
  </si>
  <si>
    <t>Education to support child needs. Identifying their interest and nurturing development. Holistic development with prepared environment.</t>
  </si>
  <si>
    <t>Nila K Sudharsan</t>
  </si>
  <si>
    <t>Product Owner · Product Owner · Orosoft</t>
  </si>
  <si>
    <t>Self Employed · Skill Developer · Brainobrain</t>
  </si>
  <si>
    <t>2 (Admission)</t>
  </si>
  <si>
    <t>Teach method followed in IGCSE schools</t>
  </si>
  <si>
    <t>Sri Vishwam</t>
  </si>
  <si>
    <t>2026-01-01</t>
  </si>
  <si>
    <t>Gazetted Officer · Tahsildar · Government of Tamil Nadu</t>
  </si>
  <si>
    <t>Business · Makeup Artist · Self Employed</t>
  </si>
  <si>
    <t>Curriculum and teaching methodology</t>
  </si>
  <si>
    <t>Guruvan</t>
  </si>
  <si>
    <t>2026-01-03</t>
  </si>
  <si>
    <t>Software Engineer · Manager · Gaurdian Private limited</t>
  </si>
  <si>
    <t>Software Engineer · Manager · Qualitest</t>
  </si>
  <si>
    <t>Compare to other school, HCL teaches kids more practical leaning and nurture kids with their passion.</t>
  </si>
  <si>
    <t>Dharshwana Mohanraj</t>
  </si>
  <si>
    <t>Aarav S</t>
  </si>
  <si>
    <t>Merchant Navy · Chief Engineer · Sanmar Shipping</t>
  </si>
  <si>
    <t>Business · Founder · Founder of Yara Designer</t>
  </si>
  <si>
    <t>25–75</t>
  </si>
  <si>
    <t>1 (Away From)</t>
  </si>
  <si>
    <t>To improve his self-dependent and learn/experiment through model projects</t>
  </si>
  <si>
    <t>VS Eshwar</t>
  </si>
  <si>
    <t>IT · Solution Architecture · Omega health care</t>
  </si>
  <si>
    <t>IT · Financial analysts · TCS</t>
  </si>
  <si>
    <t>Relocating into Chennai</t>
  </si>
  <si>
    <t>1 (Planning)</t>
  </si>
  <si>
    <t>Since we are planning to relocate closer to Siruseri, HLC is a convenient option for us. More importantly, its learning philosophy, structured curriculum, and s…</t>
  </si>
  <si>
    <t>JAYARAMAN S</t>
  </si>
  <si>
    <t>SALARIED · MANAGER · HCL TECHNOLOGIES</t>
  </si>
  <si>
    <t>HOMEMAKER · NA · NA</t>
  </si>
  <si>
    <t>HLC’s child‑centred, changemaker approach with minimal exams, rich arts and activities, and low homework perfectly matches our priority for joyful, visible lear…</t>
  </si>
  <si>
    <t>K.Parinidhi</t>
  </si>
  <si>
    <t>S. Sarvesh</t>
  </si>
  <si>
    <t>2026-02-05</t>
  </si>
  <si>
    <t>Grade 5  ·  29 applicants</t>
  </si>
  <si>
    <t>Rishvika Avanya Sathish</t>
  </si>
  <si>
    <t>Grade 5</t>
  </si>
  <si>
    <t>To give my child a right development and path to explore her interests</t>
  </si>
  <si>
    <t>Shamitha S</t>
  </si>
  <si>
    <t>IT · project Manager · standard Chartered bank</t>
  </si>
  <si>
    <t>IT · Test lead · TCS</t>
  </si>
  <si>
    <t>Holistic, all-round development, Experiential, hands-on learning</t>
  </si>
  <si>
    <t>I’m seeking HLC as a learning centre for my child because I believe in its holistic approach to education. The focus on curiosity, creativity, and experiential …</t>
  </si>
  <si>
    <t>ISHAAN PRANAV SP</t>
  </si>
  <si>
    <t>Working with Private Company · SENIOR PRODUCT OWNER · CLARIVATE</t>
  </si>
  <si>
    <t>Working with private company · Consultant · TCS</t>
  </si>
  <si>
    <t>We know HLC has different approach in educating children from regular school. I have good stories about this school as some of my friends children are studying …</t>
  </si>
  <si>
    <t>Rithik Prasaanth</t>
  </si>
  <si>
    <t>Finance Professional · Sr, Director Strategy · Ivy Mobility Solutions Pvt Ltd</t>
  </si>
  <si>
    <t>Child-centric, individual attention, Experiential, hands-on learning, Values, nurturing environment and inclusion, Life skills, confidence, leadership, Sports and physical activity</t>
  </si>
  <si>
    <t>We are looking for an institution that can continue to nurture his abilities, help shape him into a successful individual with strong integrity, and enable him …</t>
  </si>
  <si>
    <t>Veera Manish S</t>
  </si>
  <si>
    <t>Banker · Vp , product corporate cards · Kotak Mahindra Bank</t>
  </si>
  <si>
    <t>Lead software engineer · Tester · Virtusa</t>
  </si>
  <si>
    <t>Values, nurturing environment and inclusion, Recommendation and reputation, Sports and physical activity</t>
  </si>
  <si>
    <t>We heard it from a few parents that the school's focus on developing intellectual, physical, and emotional abilities aligns with values. So I believe HCL School…</t>
  </si>
  <si>
    <t>ABHISHIKTH YANAMALA</t>
  </si>
  <si>
    <t>IT Engineer · Manager · TCS</t>
  </si>
  <si>
    <t>Banker · Sr Customer Assistant · State Bank of India</t>
  </si>
  <si>
    <t>6 (Casa Grande)</t>
  </si>
  <si>
    <t>Arjun durai. T.M</t>
  </si>
  <si>
    <t>Software engineer · Senior software engineer · Microsoft</t>
  </si>
  <si>
    <t>To bring joy in learning</t>
  </si>
  <si>
    <t>Kavin Suresh</t>
  </si>
  <si>
    <t>IT Professional · Senior Solutions Architect · Sensiple Software Solutions, Chennai</t>
  </si>
  <si>
    <t>Home maker · Home maker · Home</t>
  </si>
  <si>
    <t>1 (Code Field)</t>
  </si>
  <si>
    <t>Holistic, all-round development, Stress-free, joyful learning, Values, nurturing environment and inclusion, Life skills, confidence, leadership, Interest and passion-led learning</t>
  </si>
  <si>
    <t>We believe the school’s emphasis on holistic, values-driven education—moving beyond rote learning— providing opportunities to develop passions - will help our c…</t>
  </si>
  <si>
    <t>Siddharth D</t>
  </si>
  <si>
    <t>Sourcing Manager · Manager · Newell Brands</t>
  </si>
  <si>
    <t>Software engineer · Manager · Wipro</t>
  </si>
  <si>
    <t>2 (Casagrand Grandio)</t>
  </si>
  <si>
    <t>Children should have a free and open atmosphere in which to learn and develop through various activities.</t>
  </si>
  <si>
    <t>M Ritwik</t>
  </si>
  <si>
    <t>IT · Business Technology Liaison · Bank of New York</t>
  </si>
  <si>
    <t>Teacher · Private Home Tutor &amp; Phonics Teacher · Agni College of Technology</t>
  </si>
  <si>
    <t>We are seeking HLC as a learning centre because we value it is child-centered, experiential approach that nurtures curiosity and creativity. We believe this env…</t>
  </si>
  <si>
    <t>Sameera S S</t>
  </si>
  <si>
    <t>Architect · Technology Architect · Infosys India Pvt Ltd</t>
  </si>
  <si>
    <t>Consultant · Associate Consultant · Infosys India Pvt Ltd</t>
  </si>
  <si>
    <t>Teaching methodology</t>
  </si>
  <si>
    <t>Advik Vinodh</t>
  </si>
  <si>
    <t>Self employed · Partner · Vistaware enterprises</t>
  </si>
  <si>
    <t>House maker · Na · Na</t>
  </si>
  <si>
    <t>Relocating to Chennai</t>
  </si>
  <si>
    <t>Looking for holistic education catering to individual child needs.</t>
  </si>
  <si>
    <t>Sanvika Muthuraja</t>
  </si>
  <si>
    <t>Engineer · Manager · Siemens</t>
  </si>
  <si>
    <t>Engineer · Entrepreneur · Self Employed</t>
  </si>
  <si>
    <t>Authentic and Nature Oriented place to learn</t>
  </si>
  <si>
    <t>TALITHASRI DINESH</t>
  </si>
  <si>
    <t>2025-11-23</t>
  </si>
  <si>
    <t>IT ENGINEER · VICE PRESIDENT PROGRAMME MANAGEMENT · STANDARD CHARTERED</t>
  </si>
  <si>
    <t>HOMEROOM FACILITATOR · SCIENCE FACILITATOR ( GRADE 2) · KC HIGH SCHOOL</t>
  </si>
  <si>
    <t>68–143</t>
  </si>
  <si>
    <t>Holistic, all-round development, Child-centric, individual attention, Stress-free, joyful learning, Values, nurturing environment and inclusion, Teachers and facilitators, Proximity and convenience</t>
  </si>
  <si>
    <t>My daughter has been homeschooled until she was 7 years, we enjoyed every bit of it as we travelled and saw education beyond classroom, not confined to walls. I…</t>
  </si>
  <si>
    <t>S. Joshni</t>
  </si>
  <si>
    <t>Civil engineer · Engineer · Civil engineer</t>
  </si>
  <si>
    <t>It engineer · Associate engineer · It engineer</t>
  </si>
  <si>
    <t>Vengavasal</t>
  </si>
  <si>
    <t>It's a innovative pleasant environment</t>
  </si>
  <si>
    <t>Ishaan Praveen</t>
  </si>
  <si>
    <t>2025-11-30</t>
  </si>
  <si>
    <t>Software Professional · Product Manager · Baton Systems Pvt Ltd</t>
  </si>
  <si>
    <t>Software Professional · Senior Consultant · Infosys</t>
  </si>
  <si>
    <t>1 (Casagrand Cherrypick)</t>
  </si>
  <si>
    <t>Holistic, all-round development, Experiential, hands-on learning, Values, nurturing environment and inclusion, Life skills, confidence, leadership</t>
  </si>
  <si>
    <t>I believe a child’s education should go far beyond learning concepts and passing exams. What truly matters is holistic growth, where the child is nurtured emoti…</t>
  </si>
  <si>
    <t>Shasha Sanjushree</t>
  </si>
  <si>
    <t>IT · Test Lead · HCL tech</t>
  </si>
  <si>
    <t>Holistic, all-round development, Stress-free, joyful learning, Life skills, confidence, leadership</t>
  </si>
  <si>
    <t>As I believe in a learning environment which focuses on holistic development and individualised attention. I want my kid to learn with joy , confidence and not …</t>
  </si>
  <si>
    <t>L Vishaal Palaniappan</t>
  </si>
  <si>
    <t>2025-12-11</t>
  </si>
  <si>
    <t>Professional · Vice President · BA Continuum</t>
  </si>
  <si>
    <t>Closer to home</t>
  </si>
  <si>
    <t>Dheekshadh Balaji</t>
  </si>
  <si>
    <t>2025-12-25</t>
  </si>
  <si>
    <t>IT Consultant · Business Analyst · TCS</t>
  </si>
  <si>
    <t>Bharatanatyam teacher · teacher · conducts private lessons</t>
  </si>
  <si>
    <t>To get a better education and go behind his passion</t>
  </si>
  <si>
    <t>Advaith Srihari</t>
  </si>
  <si>
    <t>Software Architect · Lead · Thoughtworks India Pvt. Ltd.</t>
  </si>
  <si>
    <t>Software Project Manager · Software Project Manager · Tech Mahindra India Pvt. Ltd.</t>
  </si>
  <si>
    <t>54–103</t>
  </si>
  <si>
    <t>Holistic, all-round development, Child-centric, individual attention, Experiential, hands-on learning, Sports and physical activity, Interest and passion-led learning</t>
  </si>
  <si>
    <t>We are seeking HLC for the reasons below: 1. We are looking at holistic development of the child and personalized attention on key subject areas. 2. The child i…</t>
  </si>
  <si>
    <t>Harsith Kani</t>
  </si>
  <si>
    <t>IT Professional · Senior Manager · Cognizant Technology solutions</t>
  </si>
  <si>
    <t>4 (Casa Grand)</t>
  </si>
  <si>
    <t>We are returning from USA for good and looking the same level of curriculum, HLC provides supportive environment and encourage the learning and personal growth.…</t>
  </si>
  <si>
    <t>Rishaan Raja</t>
  </si>
  <si>
    <t>Marine Engineer · Second Engineer · shipping</t>
  </si>
  <si>
    <t>Homemaker · Assistant Executive · Previously works at AEL Database</t>
  </si>
  <si>
    <t>As a parent seeking the right learning environment for my child, I’d consider HLC personalised learning approach</t>
  </si>
  <si>
    <t>Arsh</t>
  </si>
  <si>
    <t>2026-01-07</t>
  </si>
  <si>
    <t>Lead Design Engineer · Lead Design Engineer · Caterpillar</t>
  </si>
  <si>
    <t>Delivery Manager · Agile Delivery Manager · Cognizant</t>
  </si>
  <si>
    <t>51–98</t>
  </si>
  <si>
    <t>3 (Neelangarai)</t>
  </si>
  <si>
    <t>Curriculum</t>
  </si>
  <si>
    <t>Anjali Narendiran</t>
  </si>
  <si>
    <t>2026-01-08</t>
  </si>
  <si>
    <t>Software Engineer · Senior Software Engineer · Signify</t>
  </si>
  <si>
    <t>Full Time Mom · N/A · N/A</t>
  </si>
  <si>
    <t>14–35</t>
  </si>
  <si>
    <t>My daughter goes to a school in Texas and we were looking for similar education opportunities in Chennai. And we felt HLC would be the best choice.</t>
  </si>
  <si>
    <t>H.SAILAKSHMI</t>
  </si>
  <si>
    <t>MECHANICAL ENGINEER · PROJECT ENGINEER · WARTSILA</t>
  </si>
  <si>
    <t>TEACHER · MATH TEACHER · PRIMBUDS GARDEN</t>
  </si>
  <si>
    <t>12–30</t>
  </si>
  <si>
    <t>It is interesting and different from the other institutions while going through the web page and reviews</t>
  </si>
  <si>
    <t>Vaaranan P G</t>
  </si>
  <si>
    <t>Nila Justus</t>
  </si>
  <si>
    <t>Learning Game Designer · Game Designer · TCS</t>
  </si>
  <si>
    <t>HR · Talent acquisition · Glow worm consulting</t>
  </si>
  <si>
    <t>9 (Dinesh Vihar)</t>
  </si>
  <si>
    <t>Nila studied in a montessori school in her early days of education. Because of which she is able to reason and have a deep conversation after thinking and refle…</t>
  </si>
  <si>
    <t>Ryan Nishad Adiyath</t>
  </si>
  <si>
    <t>Information Technology · Cyber Security · Wipro Limited</t>
  </si>
  <si>
    <t>House wife · NA · NA</t>
  </si>
  <si>
    <t>Looking for IGCSE syllabus</t>
  </si>
  <si>
    <t>New Trial 2</t>
  </si>
  <si>
    <t>2026-02-06</t>
  </si>
  <si>
    <t>sdfg · sdfg · sdfg</t>
  </si>
  <si>
    <t>asdf · asdf · asdf</t>
  </si>
  <si>
    <t>wert</t>
  </si>
  <si>
    <t>Grade 6  ·  19 applicants</t>
  </si>
  <si>
    <t>Mokshitha B</t>
  </si>
  <si>
    <t>Grade 6</t>
  </si>
  <si>
    <t>Doctor · Chief Business officer and consultant · Gem Hospital Perungudi</t>
  </si>
  <si>
    <t>IT consultant · Manager · Cognizant</t>
  </si>
  <si>
    <t>38–85</t>
  </si>
  <si>
    <t>For the kid to enjoy her learning</t>
  </si>
  <si>
    <t>Manas Laxman</t>
  </si>
  <si>
    <t>Homemaker · Housewife · NA</t>
  </si>
  <si>
    <t>Holistic, all-round development, Stress-free, joyful learning</t>
  </si>
  <si>
    <t>At HLC’s the philosophy of freedom to learn and holistic education reflects with what I want for my child to understand concepts deeply and enjoy the learning p…</t>
  </si>
  <si>
    <t>Ishan Harikrishnan</t>
  </si>
  <si>
    <t>Private company · Senior Director operations · Resilinc</t>
  </si>
  <si>
    <t>Private company · Assistant director · EY</t>
  </si>
  <si>
    <t>110–225</t>
  </si>
  <si>
    <t>HLC standards meet our requirements</t>
  </si>
  <si>
    <t>NEEL</t>
  </si>
  <si>
    <t>Animation/ Motion Designer · Motion Designer · PromptQL</t>
  </si>
  <si>
    <t>Business · Centre Owner &amp; Franchise Partner · Business Owner – Globalart Sholinganallur</t>
  </si>
  <si>
    <t>Stress-free, joyful learning, Experiential, hands-on learning, Values, nurturing environment and inclusion, Life skills, confidence, leadership, Interest and passion-led learning</t>
  </si>
  <si>
    <t>We are seeking HLC because it aligns deeply with the kind of learning environment we want for our child — one that values curiosity, creativity, and individuali…</t>
  </si>
  <si>
    <t>Anwitha Balaji</t>
  </si>
  <si>
    <t>Harshitha Hariharan</t>
  </si>
  <si>
    <t>IT Consultant · Senior Manager · Cosultant</t>
  </si>
  <si>
    <t>2 (Edenpark)</t>
  </si>
  <si>
    <t>Qualified teachers with good infrastructure and focus on the child's growth</t>
  </si>
  <si>
    <t>Niralya RS</t>
  </si>
  <si>
    <t>Manager · Engineering Manager · Baker Hughes India Pvt Ltd</t>
  </si>
  <si>
    <t>Human Resources · Incharge - People Practices · National Payments Corporation of India</t>
  </si>
  <si>
    <t>We strongly believe education is baseline for our child to approach the society confidently, thrive through challenges collaboratively and prosper well with a d…</t>
  </si>
  <si>
    <t>K.A.Venbha</t>
  </si>
  <si>
    <t>State Government Service · Inspector · Greater Chennai Corporation(Audit)</t>
  </si>
  <si>
    <t>Information Technology · Senior Process Consultant · Infosys Limited</t>
  </si>
  <si>
    <t>We need a creative learning environment for our daughter to try new ideas and learn</t>
  </si>
  <si>
    <t>Laya Bharathi</t>
  </si>
  <si>
    <t>Software Engineer · AVP · Citicorp Services India Private Limited</t>
  </si>
  <si>
    <t>Software Engineer · Associate Quality Engineer · Capegemini</t>
  </si>
  <si>
    <t>5 (Casa Grand)</t>
  </si>
  <si>
    <t>Stress-free, joyful learning, Experiential, hands-on learning, Values, nurturing environment and inclusion, Life skills, confidence, leadership, Recommendation and reputation, Sports and physical activity, Interest and passion-led learning</t>
  </si>
  <si>
    <t>We are seeking HLC as a learning centre for our daughter because we truly believe education should nurture the child as a whole — not just academically, but emo…</t>
  </si>
  <si>
    <t>Ayush Dutta</t>
  </si>
  <si>
    <t>Laya</t>
  </si>
  <si>
    <t>2025-11-18</t>
  </si>
  <si>
    <t>Sherly Sylvain J</t>
  </si>
  <si>
    <t>IT Technical Project and Program Management · Senior Program Manager · Cognizant</t>
  </si>
  <si>
    <t>Technical Architect · Associate Principal Architect · LTIMindtree</t>
  </si>
  <si>
    <t>60–110</t>
  </si>
  <si>
    <t>We strongly believe that HLC will turn her dreams/interests/passion into her profession in future as HLC focuses more on Childs development and interest rather …</t>
  </si>
  <si>
    <t>Isha Deepak</t>
  </si>
  <si>
    <t>Project sales- cement and mining · Business development manager · Timken</t>
  </si>
  <si>
    <t>IT · Functional architect · Blueyonder</t>
  </si>
  <si>
    <t>I believe in multifaceted growth of the kid where he/she is able to come up as confident and passionate human being. The curriculum that HLC follows will be abl…</t>
  </si>
  <si>
    <t>D. PREYAKSHNA MAHADEEP</t>
  </si>
  <si>
    <t>MARINE ENGINEER · 1ST ASSISTANT ENGINEER · Mitsui O.S.K. Lines Maritime India Private Limited</t>
  </si>
  <si>
    <t>1 (Emami Tejomaya)</t>
  </si>
  <si>
    <t>We are seeking HLC for our daughter because we appreciate the school’s holistic and learner-centered approach. We believe that HLC’s focus on experiential learn…</t>
  </si>
  <si>
    <t>ANISH V.L</t>
  </si>
  <si>
    <t>IT Professional · Senior Software Engineer · YouScience LLC</t>
  </si>
  <si>
    <t>Home Maker · N/A · N/A</t>
  </si>
  <si>
    <t>Holistic, all-round development, Values, nurturing environment and inclusion, Life skills, confidence, leadership</t>
  </si>
  <si>
    <t>HLC’s vision and values strongly align with our own beliefs about education. While academics are important, we believe that personal development, character buil…</t>
  </si>
  <si>
    <t>Madhan K Sudharsan</t>
  </si>
  <si>
    <t>Stress-free, joyful learning, Interest and passion-led learning</t>
  </si>
  <si>
    <t>A place where my child can enjoy learning and discover his interest</t>
  </si>
  <si>
    <t>A.Aaradhya</t>
  </si>
  <si>
    <t>Software engineer · Senior scrum master · Brillio Technologies</t>
  </si>
  <si>
    <t>Testing Engineer · Testing Engineer · Helixotech</t>
  </si>
  <si>
    <t>For understanding my kids nature and teaching and exploring analytical way</t>
  </si>
  <si>
    <t>Muthara Muthukumar</t>
  </si>
  <si>
    <t>Software Engineer · Lead Engineer · Westpac Banking Corporation, Sydney, Australia</t>
  </si>
  <si>
    <t>Loan officer · Team member · Westpac Banking Corporation, Sydney, Australia</t>
  </si>
  <si>
    <t>We are seeking HLC as a learning center for our child because its philosophy of nurturing curiosity, independence, empathy and real-world learning aligns strong…</t>
  </si>
  <si>
    <t>Pranaav Sureshkumar</t>
  </si>
  <si>
    <t>Software engineer · Senior Manager · Standard chartered bank</t>
  </si>
  <si>
    <t>Already part of HLC,taken break due to sports</t>
  </si>
  <si>
    <t>Grade 7  ·  15 applicants</t>
  </si>
  <si>
    <t>S.Nitin Karthik</t>
  </si>
  <si>
    <t>Grade 7</t>
  </si>
  <si>
    <t>Works in IT · CHIEF PRODUCT OFFICER · D3minds cyber solution pvt ltd</t>
  </si>
  <si>
    <t>Works in IT · Director - Human Resources · D3minds Cyber solution private limited</t>
  </si>
  <si>
    <t>For a holistic approach where my kids can grow up to be better adults and also be successful</t>
  </si>
  <si>
    <t>Jagaraam Vaibodha</t>
  </si>
  <si>
    <t>Indian Film Music Composer &amp; entrepreneur · Founder &amp; CEO · Raag Music Theraphy (Self) &amp; Gigipo.com</t>
  </si>
  <si>
    <t>Homemaker · Homemaker · Not applicable</t>
  </si>
  <si>
    <t>Stated as nearby</t>
  </si>
  <si>
    <t>4 (Address)</t>
  </si>
  <si>
    <t>We weren’t searching for just a school—we wanted a place that blends academics with life skills like empathy, creativity, and fearless growth as a free spirit. …</t>
  </si>
  <si>
    <t>Swastideep Mishra</t>
  </si>
  <si>
    <t>IT Professional · AVP · Bank of America</t>
  </si>
  <si>
    <t>3 (Appaswamy Splendour)</t>
  </si>
  <si>
    <t>Holistic, all-round development, Child-centric, individual attention, Interest and passion-led learning</t>
  </si>
  <si>
    <t>We are seeking a holistic environment where a child's personal interests and aspirations are not overlooked for the sake of academic pursuits. Rather, the schoo…</t>
  </si>
  <si>
    <t>Ilancheran A</t>
  </si>
  <si>
    <t>Information Technology · Product Delivery Manager · Backspace Tech</t>
  </si>
  <si>
    <t>Home Maker · Home maker · Home maker</t>
  </si>
  <si>
    <t>Child centric education. Find and shaping the child's skill rather rushing for scoring as topper</t>
  </si>
  <si>
    <t>Avyakta.K</t>
  </si>
  <si>
    <t>IT Professional · Director · Verizon</t>
  </si>
  <si>
    <t>Yoga Instructor · NA · NA</t>
  </si>
  <si>
    <t>66–140</t>
  </si>
  <si>
    <t>Karapakkam</t>
  </si>
  <si>
    <t>3 (Doshi Risington)</t>
  </si>
  <si>
    <t>We'd like her to flourish as a holistic individual, with a mindset that seeks opportunities, learning, and fulfillment while leading a purposeful life.</t>
  </si>
  <si>
    <t>Yuvan Sridhar</t>
  </si>
  <si>
    <t>Product manager · Sr. Manager · Amazon</t>
  </si>
  <si>
    <t>quality manager · team manager · amazon</t>
  </si>
  <si>
    <t>57–111</t>
  </si>
  <si>
    <t>Stress-free, joyful learning, Values, nurturing environment and inclusion, Life skills, confidence, leadership, Interest and passion-led learning</t>
  </si>
  <si>
    <t>We want our kid not to be a rote learner, but someone who is passionate, curious and learns from diverse opinions which aligns with the vision of the school. I …</t>
  </si>
  <si>
    <t>S. Bala sundaresh</t>
  </si>
  <si>
    <t>Employee · Associate consultant · TCS</t>
  </si>
  <si>
    <t>Employee · Developer · Coforge LTD</t>
  </si>
  <si>
    <t>We want to create more interest and curiosity in science and Robotics. Bala likes to have new learning experiences and opportunities to learn in depth of concep…</t>
  </si>
  <si>
    <t>Avanthika Rajesh</t>
  </si>
  <si>
    <t>Business · CEO · Own Company</t>
  </si>
  <si>
    <t>Homemaker · Mother · Own</t>
  </si>
  <si>
    <t>For better development</t>
  </si>
  <si>
    <t>Aksharasrree.S</t>
  </si>
  <si>
    <t>software engineer · AVP · iExceed</t>
  </si>
  <si>
    <t>software engineer · analyst · tcs</t>
  </si>
  <si>
    <t>Stress-free, joyful learning, Recommendation and reputation</t>
  </si>
  <si>
    <t>We are trying to join our daughter in HLC for past 2 years. We got very good feedback from neighbor about teaching methodology which we lack in present school. …</t>
  </si>
  <si>
    <t>Vivan Narayanan</t>
  </si>
  <si>
    <t>2025-12-06</t>
  </si>
  <si>
    <t>Recruitment Head · Self · Self</t>
  </si>
  <si>
    <t>Director - Banking · Technology Head · HSBC</t>
  </si>
  <si>
    <t>I am looking for a wholistic learning experience for my son</t>
  </si>
  <si>
    <t>Donald Dickson</t>
  </si>
  <si>
    <t>HR Professional · Head HR · DRA Homes</t>
  </si>
  <si>
    <t>HR Professional · HR Recruiter · Isoftronics</t>
  </si>
  <si>
    <t>58–118</t>
  </si>
  <si>
    <t>We chose HLC because of its holistic approach to education, nurturing environment, and strong focus on building both academic skills and character, which we bel…</t>
  </si>
  <si>
    <t>Rohan Alex</t>
  </si>
  <si>
    <t>2025-12-23</t>
  </si>
  <si>
    <t>A.SAANTHAJINESH</t>
  </si>
  <si>
    <t>Private Salaried Employee · Senior Software Architect · RocketSoftware</t>
  </si>
  <si>
    <t>Prathibha · Homemaker · Home</t>
  </si>
  <si>
    <t>1 (Madippakkam)</t>
  </si>
  <si>
    <t>Best place to nurture and shape the child to be a better person</t>
  </si>
  <si>
    <t>Sahana</t>
  </si>
  <si>
    <t>2026-02-04</t>
  </si>
  <si>
    <t>Financial Controller · Managing Finances for APAC and Middles East · Sutherland</t>
  </si>
  <si>
    <t>Key Account manager · B2B Sales · Pluxee India</t>
  </si>
  <si>
    <t>Application based learning</t>
  </si>
  <si>
    <t>Grade 8  ·  18 applicants</t>
  </si>
  <si>
    <t>Ishaan</t>
  </si>
  <si>
    <t>Grade 8</t>
  </si>
  <si>
    <t>IT · AVP · Citi bank - IT</t>
  </si>
  <si>
    <t>IT · Change Manager · MyPrimeSquad</t>
  </si>
  <si>
    <t>Teachers and facilitators, Interest and passion-led learning</t>
  </si>
  <si>
    <t>Best teachers , the way of teaching , hlc have brought up many talented kids</t>
  </si>
  <si>
    <t>V. SAMHITHA</t>
  </si>
  <si>
    <t>INFORMATION TECHNOLOGY · ASSOCIATE DIRECTOR · CTS</t>
  </si>
  <si>
    <t>INFORMATION TECHNOLOGY · PROGRAM LEAD · SITESAVVY</t>
  </si>
  <si>
    <t>Holistic, all-round development, Child-centric, individual attention, Experiential, hands-on learning, Values, nurturing environment and inclusion, Cambridge, international curriculum, Life skills, confidence, leadership</t>
  </si>
  <si>
    <t>We are seeking Headstart Learning Centre - because it offers a progressive, learner-driven environment that focuses on curiosity, empathy, and collaboration. It…</t>
  </si>
  <si>
    <t>NIRALYA M</t>
  </si>
  <si>
    <t>SOFTWARE ENGINEERING · DESIGN · NIRALCUBE</t>
  </si>
  <si>
    <t>Holistic, all-round development, Experiential, hands-on learning, Cambridge, international curriculum</t>
  </si>
  <si>
    <t>I wish to join HLC International for its innovative approach to learning and focus on real-world skills, which align perfectly with my goals for all-round growt…</t>
  </si>
  <si>
    <t>AAHANAA.D</t>
  </si>
  <si>
    <t>Holistic, all-round development, Child-centric, individual attention, Values, nurturing environment and inclusion, Life skills, confidence, leadership</t>
  </si>
  <si>
    <t>I appreciate the centre's focus on holistic learning, and its emphasis on mutual respect and empathy, I want my child to grow in an environment that values coll…</t>
  </si>
  <si>
    <t>Shreya Shankar</t>
  </si>
  <si>
    <t>Information Technology Professional · Vice President &amp; CISO · Violin Technologies</t>
  </si>
  <si>
    <t>Software Professional · Project Manager · Cognizant Technologies</t>
  </si>
  <si>
    <t>1 (Appasamy)</t>
  </si>
  <si>
    <t>Experiential, hands-on learning, Values, nurturing environment and inclusion, Life skills, confidence, leadership, Interest and passion-led learning</t>
  </si>
  <si>
    <t>We feel HLC will give her the right space to explore her interests, learn new things, and grow with confidence. We also think that the school gives importance t…</t>
  </si>
  <si>
    <t>Shaambhavi kartik</t>
  </si>
  <si>
    <t>Program manager (IT) · Program manager · IQVIA</t>
  </si>
  <si>
    <t>Teacher · Teacher(MATH) · COBB county , atlanta</t>
  </si>
  <si>
    <t>34–65</t>
  </si>
  <si>
    <t>2 (Malles Aashira)</t>
  </si>
  <si>
    <t>Holistic approach for education.</t>
  </si>
  <si>
    <t>Shanmukha Sri Ram Polisetti</t>
  </si>
  <si>
    <t>IT Consultant · Project Leader · Astra Zeneca</t>
  </si>
  <si>
    <t>House Wife · Household Manager · Home</t>
  </si>
  <si>
    <t>HLC's thought process resonating with ours &amp; our belief that my child will continue blossom in the right direction under the curious &amp; nurturing eyes of HLC.</t>
  </si>
  <si>
    <t>V Akshith</t>
  </si>
  <si>
    <t>Software Engineer · Development Manager · Kaleris, Ascendas</t>
  </si>
  <si>
    <t>House Wife · House Wife · Home</t>
  </si>
  <si>
    <t>Child-centric, individual attention, Values, nurturing environment and inclusion, Life skills, confidence, leadership, Interest and passion-led learning</t>
  </si>
  <si>
    <t>Child growth in the right direction. I appreciate that the school values each child’s individual pace, strengths, and interests, and creates a supportive space …</t>
  </si>
  <si>
    <t>Shakya Sinha</t>
  </si>
  <si>
    <t>Dhyuthi Archith</t>
  </si>
  <si>
    <t>Finance professional · Equity Analyst · Own company</t>
  </si>
  <si>
    <t>Finance professional · Mergers and Acquisitions Advisory · Flumeris Advisory</t>
  </si>
  <si>
    <t>Thiruvanmiyur</t>
  </si>
  <si>
    <t>A wholesome learning environment for my daughter</t>
  </si>
  <si>
    <t>Saibhavesh Maheshwaran</t>
  </si>
  <si>
    <t>Not applicable · Not Applicable · Not Applicable</t>
  </si>
  <si>
    <t>Private employment · Manager Operations · Ericsson India Global services</t>
  </si>
  <si>
    <t>Cambridge, international curriculum, Recommendation and reputation, Proximity and convenience</t>
  </si>
  <si>
    <t>School in close proximity, also have got good feedback from my friends in same community about HLC. Saibhavesh is already in cambridge syllabus school and this …</t>
  </si>
  <si>
    <t>Dharshana</t>
  </si>
  <si>
    <t>Engineer · Software Developer · Tata consultancy services</t>
  </si>
  <si>
    <t>Engineer · Technical analyst · business</t>
  </si>
  <si>
    <t>I am seeking HLC as a learning centre for my child because I appreciate its emphasis on holistic development. I want my child to grow not only academically but …</t>
  </si>
  <si>
    <t>Adhavan karthikkumar</t>
  </si>
  <si>
    <t>Values, nurturing environment and inclusion, Recommendation and reputation</t>
  </si>
  <si>
    <t>We want to offer a nurturing environment for our children. As we are shifting to Sholinganallur through friends heard about HLC school.</t>
  </si>
  <si>
    <t>Marcellus Charles</t>
  </si>
  <si>
    <t>2025-12-27</t>
  </si>
  <si>
    <t>Business · Founder and CEO · Select VFX Studio | www.selectvfx.studio</t>
  </si>
  <si>
    <t>Previously worked as a Teacher. Now, Home Maker · Previously worked as a Teacher. Now, Home Maker · Don Bosco School. Now, Home Maker</t>
  </si>
  <si>
    <t>2 (Residence)</t>
  </si>
  <si>
    <t>We are seeking an HLC as a learning centre because we value an education that focuses on strong academics alongside character, confidence, and independent think…</t>
  </si>
  <si>
    <t>Jenilia C</t>
  </si>
  <si>
    <t>Previously worked as a Teacher. Now, HomeMaker · Previously worked as a Teacher. Now, HomeMaker · Home Maker</t>
  </si>
  <si>
    <t>We are seeking an HLC as a learning centre because we value an education that balances strong academics with character, confidence, and independent thinking. HL…</t>
  </si>
  <si>
    <t>Saatvik Vijay Prabhu</t>
  </si>
  <si>
    <t>IT · Sr Manager · Walmart</t>
  </si>
  <si>
    <t>House wife · None · None</t>
  </si>
  <si>
    <t>Good reviews</t>
  </si>
  <si>
    <t>Devdarsh G</t>
  </si>
  <si>
    <t>IT professional · Product Manager · Athena Health Care</t>
  </si>
  <si>
    <t>Self employed · Tutor · NA</t>
  </si>
  <si>
    <t>Chennai (locality unclear)</t>
  </si>
  <si>
    <t>Looking for a better educational prospective that provides a holistic learning and supportive environment for my kid.</t>
  </si>
  <si>
    <t>Grade 9  ·  2 applicants</t>
  </si>
  <si>
    <t>Jiya Sangayamoorthy</t>
  </si>
  <si>
    <t>Grade 9</t>
  </si>
  <si>
    <t>Marine Chief Engineer · Chief Engineer · Merchant Navy, Sanmar Shipping</t>
  </si>
  <si>
    <t>Seeking improvement on her self confidence</t>
  </si>
  <si>
    <t>Thejasree Mohana babu</t>
  </si>
  <si>
    <t>Technical Analyst · Analyst · Vennison Technologies</t>
  </si>
  <si>
    <t>House Wife · Home maker · Home maker</t>
  </si>
  <si>
    <t>Environment that supports the kids interest and curiosity, finding theirs interest based hands on experience by exploring everything.</t>
  </si>
  <si>
    <t>Grade 11  ·  23 applicants</t>
  </si>
  <si>
    <t>Sumedh Sivakumar</t>
  </si>
  <si>
    <t>Grade 11</t>
  </si>
  <si>
    <t>Business Analyst · Senior Consultant · Tata Consultancy Services</t>
  </si>
  <si>
    <t>Homemaker · Home Operations Manager · Home</t>
  </si>
  <si>
    <t>We are looking for a democratic learning space which inspires the child to explore his abilities through experiential learning, flexible curriculum and holistic…</t>
  </si>
  <si>
    <t>Gitika Kumar</t>
  </si>
  <si>
    <t>Executive Coach · Coach · Between jobs, setting up own practice.</t>
  </si>
  <si>
    <t>Teacher · Class teacher · Tatva School</t>
  </si>
  <si>
    <t>Holistic, all-round development, Cambridge, international curriculum</t>
  </si>
  <si>
    <t>1. Well rounded focus 2. Curriculum 3. Infrastructure</t>
  </si>
  <si>
    <t>Amrita</t>
  </si>
  <si>
    <t>Software Engineer · Practice Head · Tech Mahindra</t>
  </si>
  <si>
    <t>Doctor · Medical Officer · Connect&amp;Heal Primary Care Pvt Ltd</t>
  </si>
  <si>
    <t>70–150</t>
  </si>
  <si>
    <t>Values, nurturing environment and inclusion, Cambridge, international curriculum, Quality and standards of education</t>
  </si>
  <si>
    <t>Inclusivity, diversity, resonates with global educational standards that would help the child pursue degrees abroad.</t>
  </si>
  <si>
    <t>Nikhil Lokesh</t>
  </si>
  <si>
    <t>Business · CEO · Violin Technologies Pvt Ltd</t>
  </si>
  <si>
    <t>Employed · Accounts Manager · Violin Technologies Pvt Ltd</t>
  </si>
  <si>
    <t>1 (Proximity)</t>
  </si>
  <si>
    <t>For enhanced learning, Develop skills that contribute to overall development</t>
  </si>
  <si>
    <t>Jessica</t>
  </si>
  <si>
    <t>Business · Managing Director · CAB INDIA</t>
  </si>
  <si>
    <t>Business · Director · Zen Nursery Garden</t>
  </si>
  <si>
    <t>3 (Green Nesamani)</t>
  </si>
  <si>
    <t>Holistic, all-round development, Values, nurturing environment and inclusion, Life skills, confidence, leadership, Recommendation and reputation, Sports and physical activity</t>
  </si>
  <si>
    <t>I have heard many positive testimonials from families in my community. I have observed noticeable growth in the students especially in their overall development…</t>
  </si>
  <si>
    <t>Ankush Dutta</t>
  </si>
  <si>
    <t>Private Service · Manager · Daimler</t>
  </si>
  <si>
    <t>Personal Mentoring is important at this stage of life and understand from Social Media sources that HLC is good.</t>
  </si>
  <si>
    <t>Mithra Kiruba Shankar</t>
  </si>
  <si>
    <t>Dentist · Dentist · C M Dental Clinic</t>
  </si>
  <si>
    <t>Home maker (Career Break) · Nil · Nil</t>
  </si>
  <si>
    <t>Im seeking HLC as a learning Centre because it offers a nurturing environment that encourages both academic growth and personal development.</t>
  </si>
  <si>
    <t>S Pranauv</t>
  </si>
  <si>
    <t>Banking Professional · Zonal Head · ICICI Lombard GIC Ltd</t>
  </si>
  <si>
    <t>Entrepreneur · CFO · Homesphere India</t>
  </si>
  <si>
    <t>3 (Seawood)</t>
  </si>
  <si>
    <t>Child-centric, individual attention, Stress-free, joyful learning, Experiential, hands-on learning, Life skills, confidence, leadership, Teachers and facilitators, Sibling or continuity</t>
  </si>
  <si>
    <t>I am seeking HLC as a learning centre for my child because my other child is already studying here and is very happy with the environment, teachers, and learnin…</t>
  </si>
  <si>
    <t>V. Prajit</t>
  </si>
  <si>
    <t>IT · Director · Ford Motor Private Limited</t>
  </si>
  <si>
    <t>Homemaker · N/A · N/A</t>
  </si>
  <si>
    <t>1 (Javas Sri)</t>
  </si>
  <si>
    <t>We believe HLC has strong bias towards child's best interests in bringing holistic development infused with IGCSE curriculum hence the decision to seek enrolmen…</t>
  </si>
  <si>
    <t>SARVESH.S</t>
  </si>
  <si>
    <t>DGM · DGM · ROYAL SUNDARAM</t>
  </si>
  <si>
    <t>PRINCIPAL · PRINCIPAL · SSGA</t>
  </si>
  <si>
    <t>Keelkattalai</t>
  </si>
  <si>
    <t>LEARNER CENTRIC</t>
  </si>
  <si>
    <t>Aadhavan Jude Alexander</t>
  </si>
  <si>
    <t>Performing Arts · Director · Anba Arts Pvt Ltd</t>
  </si>
  <si>
    <t>Program Manager · Director · Anba Arts Pvt Ltd</t>
  </si>
  <si>
    <t>4 (Olympia Panache)</t>
  </si>
  <si>
    <t>Values, nurturing environment and inclusion, Cambridge, international curriculum</t>
  </si>
  <si>
    <t>Aadhavan has been homeschooling for the past 2 years. He is now looking forward to attending regular school. HLC feels like a kind and nurturing environment fro…</t>
  </si>
  <si>
    <t>Ahaana Vinod</t>
  </si>
  <si>
    <t>Officer in the Indian Army · Lt Col · Indian Army</t>
  </si>
  <si>
    <t>Child-centric, individual attention, Experiential, hands-on learning, Values, nurturing environment and inclusion, Life skills, confidence, leadership, Interest and passion-led learning</t>
  </si>
  <si>
    <t>HLC’s child-centred approach, focus on critical thinking, and opportunities for real-world learning are exactly what she needs at this point in her academic jou…</t>
  </si>
  <si>
    <t>Hasinishree Sivasankar</t>
  </si>
  <si>
    <t>Software Engineer · Senior Staff Engineer · Adtran</t>
  </si>
  <si>
    <t>Software Engineer · Software Engineer · JPMC</t>
  </si>
  <si>
    <t>Current school does NOT offer IGCSE for 11 and 12th, so looking for nearby best schools that offer IGCSE board of education</t>
  </si>
  <si>
    <t>Karthikeyan Magesh</t>
  </si>
  <si>
    <t>IT · Project Manager · TCS</t>
  </si>
  <si>
    <t>We hope HLC will be a great place for my son to nurture his talents and to reach the place where he wants be .</t>
  </si>
  <si>
    <t>Nishithaa V</t>
  </si>
  <si>
    <t>Business · CEO · Aikyne Technologies Pvt Ltd</t>
  </si>
  <si>
    <t>Business · HR · Aikyne Technologies Pvt Ltd</t>
  </si>
  <si>
    <t>I am choosing HLC because it offers a supportive and caring learning environment that focuses on both academic growth and personal development. I believe my chi…</t>
  </si>
  <si>
    <t>RAFIYA FATHIMA</t>
  </si>
  <si>
    <t>Ashritha Rabin Ganesh</t>
  </si>
  <si>
    <t>2025-12-20</t>
  </si>
  <si>
    <t>IT professional · Head if IT · Aditya Birla group</t>
  </si>
  <si>
    <t>Small business owner · Owner · Niraj Ila’s designs</t>
  </si>
  <si>
    <t>Reference by parents</t>
  </si>
  <si>
    <t>Sashant G</t>
  </si>
  <si>
    <t>Business · Proprietor · Money tree finserv</t>
  </si>
  <si>
    <t>Private service · AVP · Standard Chartered Global Busimess Services</t>
  </si>
  <si>
    <t>His present school has classes upto X and is Cambridge board. We are looking at similar well established schools.</t>
  </si>
  <si>
    <t>Business · Founder and CEO · Select VFX Studio (www.selectvfx.studio)</t>
  </si>
  <si>
    <t>Previously Worked as a Teacher. Now, HouseWife · Previously Worked as a Teacher. Now, HouseWife · Don Bosco School</t>
  </si>
  <si>
    <t>Kevin Jeremiah David</t>
  </si>
  <si>
    <t>Business · Sales · Own business</t>
  </si>
  <si>
    <t>General Manager · Head Corporate Communications · Renault Nissan Technology and Business Center India</t>
  </si>
  <si>
    <t>75–175</t>
  </si>
  <si>
    <t>Child-centric, individual attention, Values, nurturing environment and inclusion, Life skills, confidence, leadership</t>
  </si>
  <si>
    <t>We chose HLC because it offers a caring learning environment with strong academic support. We like the focus on individual attention, skill development, and hel…</t>
  </si>
  <si>
    <t>S. Uvan aditya</t>
  </si>
  <si>
    <t>IT professional · Vice President · Intellect solutions</t>
  </si>
  <si>
    <t>Microbiologist · Consultant · Anderson. Diagnostics</t>
  </si>
  <si>
    <t>Velachery</t>
  </si>
  <si>
    <t>Holistic program nurturing child interests</t>
  </si>
  <si>
    <t>SHYAM RAGHAV S</t>
  </si>
  <si>
    <t>BUSINESS · MANAGING DIRECTOR · SD COMPUTERS</t>
  </si>
  <si>
    <t>HR · HR · LUMEN TECHNOLOGIES</t>
  </si>
  <si>
    <t>Child-centric, individual attention, Experiential, hands-on learning, Values, nurturing environment and inclusion, Teachers and facilitators</t>
  </si>
  <si>
    <t>To nurture a child’s ability to think differently, it is essential to have teachers and mentors who can create an environment that encourages curiosity, creativ…</t>
  </si>
  <si>
    <t>B SANJEEV</t>
  </si>
  <si>
    <t>IT Professional · IT Manager · Ford Motors Pvt Ltd</t>
  </si>
  <si>
    <t>Good education and integrated development for my Children</t>
  </si>
  <si>
    <t>Summary — 318 applicants</t>
  </si>
  <si>
    <t>Applicants</t>
  </si>
  <si>
    <t>Share</t>
  </si>
  <si>
    <t>Estimated family income</t>
  </si>
  <si>
    <t>Parents</t>
  </si>
  <si>
    <t>Law</t>
  </si>
  <si>
    <t>Why HLC — all reasons mentioned</t>
  </si>
  <si>
    <t>Sibling or continuity</t>
  </si>
  <si>
    <t>Special needs support</t>
  </si>
  <si>
    <t>Applicants with an existing HLC family in the same community</t>
  </si>
  <si>
    <t>How the estimates were made — read before using</t>
  </si>
  <si>
    <t>Scope: the "just 2025-26" sheet of the application form (applications from November 2025), matched against the 2025-26 Master List of current students.</t>
  </si>
  <si>
    <t>Income: each parent's occupation and role are mapped to a salary range by seniority (for example CXO or Director ₹50–100 L; Manager or Lead ₹18–35 L; Engineer or Analyst ₹8–20 L; doctor ₹20–50 L; homemaker ₹0). Ranges rise about 20% for global MNC employers. Family range = father + mother. Confidence is Medium where a clear role or profession was stated, Low where only a generic label (for example "IT") was given. These are proxies, not facts.</t>
  </si>
  <si>
    <t>Profession 1 and 2: the father's and mother's occupation, role and employer standardised into twelve categories (for example IT and software, Banking and finance, Healthcare, Business owner, Homemaker). Where the occupation was vague, the employer decided it.</t>
  </si>
  <si>
    <t>Mobility: out-of-India likelihood is High where roles mention global, APAC, international or onsite work; Medium for global MNCs and IT-services managers; Low for business owners, doctors and local professions. Out-of-Chennai is High for defence, banking and government roles. Families mentioning relocation into Chennai are flagged separately.</t>
  </si>
  <si>
    <t>Distance: approximate road distance from HLC Karanai to the centre of the locality named in the address, or to the pincode area where no locality was found. No geocoding was used.</t>
  </si>
  <si>
    <t>Proximity grade: A Doorstep ≤5 km · B Near 5–10 km · C Commutable 10–15 km · D Far 15–25 km · E Outside catchment &gt;25 km · U not determinable.</t>
  </si>
  <si>
    <t>Existing HLC families: an applicant is matched to current students whose address shares the same community or apartment name (a distinctive two-word name, or a rare word). Matches are probable, not certain.</t>
  </si>
  <si>
    <t>Why HLC: free-text answers were tagged against twelve themes by keywords. An answer can carry several themes; "Primary reason" is the first theme matched.</t>
  </si>
  <si>
    <t>Privacy: phone numbers, e-mails and parents' names are excluded. Income and mobility estimates are for internal planning only and must never be shared with families or used to treat applicants differently.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</si>
</sst>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1F4E79"/>
      <name val="Arial"/>
      <charset val="1"/>
    </font>
    <font>
      <i/>
      <sz val="9"/>
      <color rgb="FF9C2B2B"/>
      <name val="Arial"/>
      <charset val="1"/>
    </font>
    <font>
      <b/>
      <sz val="9"/>
      <color rgb="FFFFFFFF"/>
      <name val="Arial"/>
      <charset val="1"/>
    </font>
    <font>
      <b/>
      <sz val="9.5"/>
      <color rgb="FF1F1F1F"/>
      <name val="Arial"/>
      <charset val="1"/>
    </font>
    <font>
      <b/>
      <sz val="11"/>
      <color rgb="FF1F4E79"/>
      <name val="Arial"/>
      <charset val="1"/>
    </font>
    <font>
      <sz val="9"/>
      <name val="Arial"/>
      <charset val="1"/>
    </font>
    <font>
      <b/>
      <sz val="9"/>
      <name val="Arial"/>
      <charset val="1"/>
    </font>
    <font>
      <i/>
      <sz val="9"/>
      <name val="Arial"/>
      <charset val="1"/>
    </font>
    <font>
      <b/>
      <sz val="10"/>
      <color rgb="FFFFFFFF"/>
      <name val="Arial"/>
      <charset val="1"/>
    </font>
    <font>
      <sz val="10"/>
      <name val="Arial"/>
      <charset val="1"/>
    </font>
    <font>
      <b/>
      <sz val="10"/>
      <name val="Arial"/>
      <charset val="1"/>
    </font>
    <font>
      <b/>
      <sz val="13"/>
      <color rgb="FF1F4E79"/>
      <name val="Arial"/>
      <charset val="1"/>
    </font>
    <font>
      <sz val="10"/>
      <color rgb="FF000000"/>
      <name val="Arial"/>
      <charset val="1"/>
    </font>
  </fonts>
  <fills count="16">
    <fill>
      <patternFill patternType="none"/>
    </fill>
    <fill>
      <patternFill patternType="gray125"/>
    </fill>
    <fill>
      <patternFill patternType="solid">
        <fgColor rgb="FF1F4E79"/>
        <bgColor rgb="FF003366"/>
      </patternFill>
    </fill>
    <fill>
      <patternFill patternType="solid">
        <fgColor rgb="FF3D6B3D"/>
        <bgColor rgb="FF595959"/>
      </patternFill>
    </fill>
    <fill>
      <patternFill patternType="solid">
        <fgColor rgb="FF8A6314"/>
        <bgColor rgb="FF595959"/>
      </patternFill>
    </fill>
    <fill>
      <patternFill patternType="solid">
        <fgColor rgb="FF9C2B2B"/>
        <bgColor rgb="FF993366"/>
      </patternFill>
    </fill>
    <fill>
      <patternFill patternType="solid">
        <fgColor rgb="FF4A7FB5"/>
        <bgColor rgb="FF808080"/>
      </patternFill>
    </fill>
    <fill>
      <patternFill patternType="solid">
        <fgColor rgb="FF595959"/>
        <bgColor rgb="FF3D6B3D"/>
      </patternFill>
    </fill>
    <fill>
      <patternFill patternType="solid">
        <fgColor rgb="FFE7E6E6"/>
        <bgColor rgb="FFEDEDED"/>
      </patternFill>
    </fill>
    <fill>
      <patternFill patternType="solid">
        <fgColor rgb="FFDCE6F1"/>
        <bgColor rgb="FFE7E6E6"/>
      </patternFill>
    </fill>
    <fill>
      <patternFill patternType="solid">
        <fgColor rgb="FFE2EFDA"/>
        <bgColor rgb="FFE7E6E6"/>
      </patternFill>
    </fill>
    <fill>
      <patternFill patternType="solid">
        <fgColor rgb="FFEDEDED"/>
        <bgColor rgb="FFE7E6E6"/>
      </patternFill>
    </fill>
    <fill>
      <patternFill patternType="solid">
        <fgColor rgb="FFFFF2CC"/>
        <bgColor rgb="FFFCE4D6"/>
      </patternFill>
    </fill>
    <fill>
      <patternFill patternType="solid">
        <fgColor rgb="FFC6E0B4"/>
        <bgColor rgb="FFD9D9D9"/>
      </patternFill>
    </fill>
    <fill>
      <patternFill patternType="solid">
        <fgColor rgb="FFF8CBAD"/>
        <bgColor rgb="FFFCE4D6"/>
      </patternFill>
    </fill>
    <fill>
      <patternFill patternType="solid">
        <fgColor rgb="FFFCE4D6"/>
        <bgColor rgb="FFFFF2CC"/>
      </patternFill>
    </fill>
  </fills>
  <borders count="2">
    <border>
      <left/>
      <right/>
      <top/>
      <bottom/>
      <diagonal/>
    </border>
    <border>
      <left/>
      <right/>
      <top/>
      <bottom style="thin">
        <color rgb="FFD9D9D9"/>
      </bottom>
      <diagonal/>
    </border>
  </borders>
  <cellStyleXfs count="1">
    <xf numFmtId="0" fontId="0" fillId="0" borderId="0"/>
  </cellStyleXfs>
  <cellXfs count="31">
    <xf numFmtId="0" fontId="0" fillId="0" borderId="0" xfId="0"/>
    <xf numFmtId="0" fontId="3" fillId="7" borderId="0" xfId="0" applyFont="1" applyFill="1" applyAlignment="1">
      <alignment horizontal="center"/>
    </xf>
    <xf numFmtId="0" fontId="3" fillId="6" borderId="0" xfId="0" applyFont="1" applyFill="1" applyAlignment="1">
      <alignment horizontal="center"/>
    </xf>
    <xf numFmtId="0" fontId="3" fillId="5" borderId="0" xfId="0" applyFont="1" applyFill="1" applyAlignment="1">
      <alignment horizontal="center"/>
    </xf>
    <xf numFmtId="0" fontId="3" fillId="4" borderId="0" xfId="0" applyFont="1" applyFill="1" applyAlignment="1">
      <alignment horizontal="center"/>
    </xf>
    <xf numFmtId="0" fontId="3" fillId="3" borderId="0" xfId="0" applyFont="1" applyFill="1" applyAlignment="1">
      <alignment horizontal="center"/>
    </xf>
    <xf numFmtId="0" fontId="3" fillId="2" borderId="0" xfId="0" applyFont="1" applyFill="1" applyAlignment="1">
      <alignment horizontal="center"/>
    </xf>
    <xf numFmtId="0" fontId="1" fillId="0" borderId="0" xfId="0" applyFont="1"/>
    <xf numFmtId="0" fontId="2" fillId="0" borderId="0" xfId="0" applyFont="1"/>
    <xf numFmtId="0" fontId="4" fillId="8" borderId="0" xfId="0" applyFont="1" applyFill="1" applyAlignment="1">
      <alignment vertical="center" wrapText="1"/>
    </xf>
    <xf numFmtId="0" fontId="5" fillId="9" borderId="0" xfId="0" applyFont="1" applyFill="1"/>
    <xf numFmtId="0" fontId="0" fillId="9" borderId="0" xfId="0" applyFill="1"/>
    <xf numFmtId="0" fontId="6" fillId="0" borderId="1" xfId="0" applyFont="1" applyBorder="1" applyAlignment="1">
      <alignment horizontal="center"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6" fillId="10" borderId="1" xfId="0" applyFont="1" applyFill="1" applyBorder="1" applyAlignment="1">
      <alignment horizontal="center" vertical="top" wrapText="1"/>
    </xf>
    <xf numFmtId="0" fontId="6" fillId="11" borderId="1" xfId="0" applyFont="1" applyFill="1" applyBorder="1" applyAlignment="1">
      <alignment horizontal="left" vertical="top" wrapText="1"/>
    </xf>
    <xf numFmtId="0" fontId="8" fillId="0" borderId="1" xfId="0" applyFont="1" applyBorder="1" applyAlignment="1">
      <alignment horizontal="left" vertical="top" wrapText="1"/>
    </xf>
    <xf numFmtId="0" fontId="6" fillId="12" borderId="1" xfId="0" applyFont="1" applyFill="1" applyBorder="1" applyAlignment="1">
      <alignment horizontal="center" vertical="top" wrapText="1"/>
    </xf>
    <xf numFmtId="0" fontId="6" fillId="13"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14" borderId="1" xfId="0" applyFont="1" applyFill="1" applyBorder="1" applyAlignment="1">
      <alignment horizontal="center" vertical="top" wrapText="1"/>
    </xf>
    <xf numFmtId="0" fontId="6" fillId="15" borderId="1" xfId="0" applyFont="1" applyFill="1" applyBorder="1" applyAlignment="1">
      <alignment horizontal="left" vertical="top" wrapText="1"/>
    </xf>
    <xf numFmtId="0" fontId="6" fillId="14" borderId="1" xfId="0" applyFont="1" applyFill="1" applyBorder="1" applyAlignment="1">
      <alignment horizontal="left" vertical="top" wrapText="1"/>
    </xf>
    <xf numFmtId="0" fontId="9" fillId="2" borderId="0" xfId="0" applyFont="1" applyFill="1"/>
    <xf numFmtId="0" fontId="10" fillId="0" borderId="0" xfId="0" applyFont="1"/>
    <xf numFmtId="9" fontId="0" fillId="0" borderId="0" xfId="0" applyNumberFormat="1"/>
    <xf numFmtId="0" fontId="11" fillId="0" borderId="0" xfId="0" applyFont="1"/>
    <xf numFmtId="0" fontId="12" fillId="0" borderId="0" xfId="0" applyFont="1" applyAlignment="1">
      <alignment vertical="top" wrapText="1"/>
    </xf>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6314"/>
      <rgbColor rgb="FF800080"/>
      <rgbColor rgb="FF008080"/>
      <rgbColor rgb="FFC6E0B4"/>
      <rgbColor rgb="FF808080"/>
      <rgbColor rgb="FF9999FF"/>
      <rgbColor rgb="FF993366"/>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E7E6E6"/>
      <rgbColor rgb="FFFF99CC"/>
      <rgbColor rgb="FFCC99FF"/>
      <rgbColor rgb="FFF8CBAD"/>
      <rgbColor rgb="FF4A7FB5"/>
      <rgbColor rgb="FF33CCCC"/>
      <rgbColor rgb="FF99CC00"/>
      <rgbColor rgb="FFFFCC00"/>
      <rgbColor rgb="FFFF9900"/>
      <rgbColor rgb="FFFF6600"/>
      <rgbColor rgb="FF595959"/>
      <rgbColor rgb="FF969696"/>
      <rgbColor rgb="FF003366"/>
      <rgbColor rgb="FF3D6B3D"/>
      <rgbColor rgb="FF003300"/>
      <rgbColor rgb="FF333300"/>
      <rgbColor rgb="FF9C2B2B"/>
      <rgbColor rgb="FF993366"/>
      <rgbColor rgb="FF1F4E7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2"/>
  <sheetViews>
    <sheetView showGridLines="0" tabSelected="1" zoomScaleNormal="100" workbookViewId="0"/>
  </sheetViews>
  <sheetFormatPr defaultColWidth="8.6640625" defaultRowHeight="14.4" x14ac:dyDescent="0.3"/>
  <cols>
    <col min="1" max="1" width="46" customWidth="1"/>
    <col min="2" max="2" width="12" customWidth="1"/>
    <col min="3" max="3" width="10" customWidth="1"/>
  </cols>
  <sheetData>
    <row r="1" spans="1:3" ht="21" x14ac:dyDescent="0.4">
      <c r="A1" s="7" t="s">
        <v>1476</v>
      </c>
    </row>
    <row r="3" spans="1:3" x14ac:dyDescent="0.3">
      <c r="A3" s="25" t="s">
        <v>10</v>
      </c>
      <c r="B3" s="25" t="s">
        <v>1477</v>
      </c>
      <c r="C3" s="25" t="s">
        <v>1478</v>
      </c>
    </row>
    <row r="4" spans="1:3" x14ac:dyDescent="0.3">
      <c r="A4" s="26" t="s">
        <v>32</v>
      </c>
      <c r="B4" s="26">
        <f>COUNTIF('Applicant Insights'!$C$6:$C$350,"PreKG - Express Interest Now")</f>
        <v>36</v>
      </c>
      <c r="C4" s="27">
        <f t="shared" ref="C4:C17" si="0">IFERROR(B4/318,0)</f>
        <v>0.11320754716981132</v>
      </c>
    </row>
    <row r="5" spans="1:3" x14ac:dyDescent="0.3">
      <c r="A5" s="26" t="s">
        <v>131</v>
      </c>
      <c r="B5" s="26">
        <f>COUNTIF('Applicant Insights'!$C$6:$C$350,"PreKG")</f>
        <v>1</v>
      </c>
      <c r="C5" s="27">
        <f t="shared" si="0"/>
        <v>3.1446540880503146E-3</v>
      </c>
    </row>
    <row r="6" spans="1:3" x14ac:dyDescent="0.3">
      <c r="A6" s="26" t="s">
        <v>143</v>
      </c>
      <c r="B6" s="26">
        <f>COUNTIF('Applicant Insights'!$C$6:$C$350,"LKG")</f>
        <v>40</v>
      </c>
      <c r="C6" s="27">
        <f t="shared" si="0"/>
        <v>0.12578616352201258</v>
      </c>
    </row>
    <row r="7" spans="1:3" x14ac:dyDescent="0.3">
      <c r="A7" s="26" t="s">
        <v>398</v>
      </c>
      <c r="B7" s="26">
        <f>COUNTIF('Applicant Insights'!$C$6:$C$350,"UKG")</f>
        <v>21</v>
      </c>
      <c r="C7" s="27">
        <f t="shared" si="0"/>
        <v>6.6037735849056603E-2</v>
      </c>
    </row>
    <row r="8" spans="1:3" x14ac:dyDescent="0.3">
      <c r="A8" s="26" t="s">
        <v>519</v>
      </c>
      <c r="B8" s="26">
        <f>COUNTIF('Applicant Insights'!$C$6:$C$350,"Grade 1")</f>
        <v>43</v>
      </c>
      <c r="C8" s="27">
        <f t="shared" si="0"/>
        <v>0.13522012578616352</v>
      </c>
    </row>
    <row r="9" spans="1:3" x14ac:dyDescent="0.3">
      <c r="A9" s="26" t="s">
        <v>726</v>
      </c>
      <c r="B9" s="26">
        <f>COUNTIF('Applicant Insights'!$C$6:$C$350,"Grade 2")</f>
        <v>22</v>
      </c>
      <c r="C9" s="27">
        <f t="shared" si="0"/>
        <v>6.9182389937106917E-2</v>
      </c>
    </row>
    <row r="10" spans="1:3" x14ac:dyDescent="0.3">
      <c r="A10" s="26" t="s">
        <v>820</v>
      </c>
      <c r="B10" s="26">
        <f>COUNTIF('Applicant Insights'!$C$6:$C$350,"Grade 3")</f>
        <v>22</v>
      </c>
      <c r="C10" s="27">
        <f t="shared" si="0"/>
        <v>6.9182389937106917E-2</v>
      </c>
    </row>
    <row r="11" spans="1:3" x14ac:dyDescent="0.3">
      <c r="A11" s="26" t="s">
        <v>901</v>
      </c>
      <c r="B11" s="26">
        <f>COUNTIF('Applicant Insights'!$C$6:$C$350,"Grade 4")</f>
        <v>27</v>
      </c>
      <c r="C11" s="27">
        <f t="shared" si="0"/>
        <v>8.4905660377358486E-2</v>
      </c>
    </row>
    <row r="12" spans="1:3" x14ac:dyDescent="0.3">
      <c r="A12" s="26" t="s">
        <v>1010</v>
      </c>
      <c r="B12" s="26">
        <f>COUNTIF('Applicant Insights'!$C$6:$C$350,"Grade 5")</f>
        <v>29</v>
      </c>
      <c r="C12" s="27">
        <f t="shared" si="0"/>
        <v>9.1194968553459113E-2</v>
      </c>
    </row>
    <row r="13" spans="1:3" x14ac:dyDescent="0.3">
      <c r="A13" s="26" t="s">
        <v>1146</v>
      </c>
      <c r="B13" s="26">
        <f>COUNTIF('Applicant Insights'!$C$6:$C$350,"Grade 6")</f>
        <v>19</v>
      </c>
      <c r="C13" s="27">
        <f t="shared" si="0"/>
        <v>5.9748427672955975E-2</v>
      </c>
    </row>
    <row r="14" spans="1:3" x14ac:dyDescent="0.3">
      <c r="A14" s="26" t="s">
        <v>1221</v>
      </c>
      <c r="B14" s="26">
        <f>COUNTIF('Applicant Insights'!$C$6:$C$350,"Grade 7")</f>
        <v>15</v>
      </c>
      <c r="C14" s="27">
        <f t="shared" si="0"/>
        <v>4.716981132075472E-2</v>
      </c>
    </row>
    <row r="15" spans="1:3" x14ac:dyDescent="0.3">
      <c r="A15" s="26" t="s">
        <v>1290</v>
      </c>
      <c r="B15" s="26">
        <f>COUNTIF('Applicant Insights'!$C$6:$C$350,"Grade 8")</f>
        <v>18</v>
      </c>
      <c r="C15" s="27">
        <f t="shared" si="0"/>
        <v>5.6603773584905662E-2</v>
      </c>
    </row>
    <row r="16" spans="1:3" x14ac:dyDescent="0.3">
      <c r="A16" s="26" t="s">
        <v>1366</v>
      </c>
      <c r="B16" s="26">
        <f>COUNTIF('Applicant Insights'!$C$6:$C$350,"Grade 9")</f>
        <v>2</v>
      </c>
      <c r="C16" s="27">
        <f t="shared" si="0"/>
        <v>6.2893081761006293E-3</v>
      </c>
    </row>
    <row r="17" spans="1:3" x14ac:dyDescent="0.3">
      <c r="A17" s="26" t="s">
        <v>1375</v>
      </c>
      <c r="B17" s="26">
        <f>COUNTIF('Applicant Insights'!$C$6:$C$350,"Grade 11")</f>
        <v>23</v>
      </c>
      <c r="C17" s="27">
        <f t="shared" si="0"/>
        <v>7.2327044025157231E-2</v>
      </c>
    </row>
    <row r="19" spans="1:3" x14ac:dyDescent="0.3">
      <c r="A19" s="25" t="s">
        <v>1479</v>
      </c>
      <c r="B19" s="25" t="s">
        <v>1477</v>
      </c>
      <c r="C19" s="25" t="s">
        <v>1478</v>
      </c>
    </row>
    <row r="20" spans="1:3" x14ac:dyDescent="0.3">
      <c r="A20" s="26" t="s">
        <v>186</v>
      </c>
      <c r="B20" s="26">
        <f>COUNTIF('Applicant Insights'!$I$6:$I$350,"Below ₹15 L")</f>
        <v>17</v>
      </c>
      <c r="C20" s="27">
        <f t="shared" ref="C20:C25" si="1">IFERROR(B20/318,0)</f>
        <v>5.3459119496855348E-2</v>
      </c>
    </row>
    <row r="21" spans="1:3" x14ac:dyDescent="0.3">
      <c r="A21" s="26" t="s">
        <v>212</v>
      </c>
      <c r="B21" s="26">
        <f>COUNTIF('Applicant Insights'!$I$6:$I$350,"₹15–30 L")</f>
        <v>34</v>
      </c>
      <c r="C21" s="27">
        <f t="shared" si="1"/>
        <v>0.1069182389937107</v>
      </c>
    </row>
    <row r="22" spans="1:3" x14ac:dyDescent="0.3">
      <c r="A22" s="26" t="s">
        <v>87</v>
      </c>
      <c r="B22" s="26">
        <f>COUNTIF('Applicant Insights'!$I$6:$I$350,"₹30–50 L")</f>
        <v>87</v>
      </c>
      <c r="C22" s="27">
        <f t="shared" si="1"/>
        <v>0.27358490566037735</v>
      </c>
    </row>
    <row r="23" spans="1:3" x14ac:dyDescent="0.3">
      <c r="A23" s="26" t="s">
        <v>98</v>
      </c>
      <c r="B23" s="26">
        <f>COUNTIF('Applicant Insights'!$I$6:$I$350,"₹50–80 L")</f>
        <v>83</v>
      </c>
      <c r="C23" s="27">
        <f t="shared" si="1"/>
        <v>0.2610062893081761</v>
      </c>
    </row>
    <row r="24" spans="1:3" x14ac:dyDescent="0.3">
      <c r="A24" s="26" t="s">
        <v>58</v>
      </c>
      <c r="B24" s="26">
        <f>COUNTIF('Applicant Insights'!$I$6:$I$350,"₹80 L and above")</f>
        <v>38</v>
      </c>
      <c r="C24" s="27">
        <f t="shared" si="1"/>
        <v>0.11949685534591195</v>
      </c>
    </row>
    <row r="25" spans="1:3" x14ac:dyDescent="0.3">
      <c r="A25" s="26" t="s">
        <v>36</v>
      </c>
      <c r="B25" s="26">
        <f>COUNTIF('Applicant Insights'!$I$6:$I$350,"Not determinable")</f>
        <v>59</v>
      </c>
      <c r="C25" s="27">
        <f t="shared" si="1"/>
        <v>0.18553459119496854</v>
      </c>
    </row>
    <row r="27" spans="1:3" x14ac:dyDescent="0.3">
      <c r="A27" s="25" t="s">
        <v>24</v>
      </c>
      <c r="B27" s="25" t="s">
        <v>1477</v>
      </c>
      <c r="C27" s="25" t="s">
        <v>1478</v>
      </c>
    </row>
    <row r="28" spans="1:3" x14ac:dyDescent="0.3">
      <c r="A28" s="26" t="s">
        <v>62</v>
      </c>
      <c r="B28" s="26">
        <f>COUNTIF('Applicant Insights'!$Q$6:$Q$350,"A — Doorstep (≤5 km)")</f>
        <v>99</v>
      </c>
      <c r="C28" s="27">
        <f t="shared" ref="C28:C33" si="2">IFERROR(B28/318,0)</f>
        <v>0.31132075471698112</v>
      </c>
    </row>
    <row r="29" spans="1:3" x14ac:dyDescent="0.3">
      <c r="A29" s="26" t="s">
        <v>136</v>
      </c>
      <c r="B29" s="26">
        <f>COUNTIF('Applicant Insights'!$Q$6:$Q$350,"B — Near (5–10 km)")</f>
        <v>84</v>
      </c>
      <c r="C29" s="27">
        <f t="shared" si="2"/>
        <v>0.26415094339622641</v>
      </c>
    </row>
    <row r="30" spans="1:3" x14ac:dyDescent="0.3">
      <c r="A30" s="26" t="s">
        <v>101</v>
      </c>
      <c r="B30" s="26">
        <f>COUNTIF('Applicant Insights'!$Q$6:$Q$350,"C — Commutable (10–15 km)")</f>
        <v>34</v>
      </c>
      <c r="C30" s="27">
        <f t="shared" si="2"/>
        <v>0.1069182389937107</v>
      </c>
    </row>
    <row r="31" spans="1:3" x14ac:dyDescent="0.3">
      <c r="A31" s="26" t="s">
        <v>402</v>
      </c>
      <c r="B31" s="26">
        <f>COUNTIF('Applicant Insights'!$Q$6:$Q$350,"D — Far (15–25 km)")</f>
        <v>3</v>
      </c>
      <c r="C31" s="27">
        <f t="shared" si="2"/>
        <v>9.433962264150943E-3</v>
      </c>
    </row>
    <row r="32" spans="1:3" x14ac:dyDescent="0.3">
      <c r="A32" s="26" t="s">
        <v>443</v>
      </c>
      <c r="B32" s="26">
        <f>COUNTIF('Applicant Insights'!$Q$6:$Q$350,"E — Outside catchment (&gt;25 km)")</f>
        <v>7</v>
      </c>
      <c r="C32" s="27">
        <f t="shared" si="2"/>
        <v>2.20125786163522E-2</v>
      </c>
    </row>
    <row r="33" spans="1:3" x14ac:dyDescent="0.3">
      <c r="A33" s="26" t="s">
        <v>39</v>
      </c>
      <c r="B33" s="26">
        <f>COUNTIF('Applicant Insights'!$Q$6:$Q$350,"U — Not determinable")</f>
        <v>91</v>
      </c>
      <c r="C33" s="27">
        <f t="shared" si="2"/>
        <v>0.28616352201257861</v>
      </c>
    </row>
    <row r="35" spans="1:3" x14ac:dyDescent="0.3">
      <c r="A35" s="25" t="s">
        <v>19</v>
      </c>
      <c r="B35" s="25" t="s">
        <v>1477</v>
      </c>
      <c r="C35" s="25" t="s">
        <v>1478</v>
      </c>
    </row>
    <row r="36" spans="1:3" x14ac:dyDescent="0.3">
      <c r="A36" s="26" t="s">
        <v>146</v>
      </c>
      <c r="B36" s="26">
        <f>COUNTIF('Applicant Insights'!$L$6:$L$350,"High")</f>
        <v>24</v>
      </c>
      <c r="C36" s="27">
        <f>IFERROR(B36/318,0)</f>
        <v>7.5471698113207544E-2</v>
      </c>
    </row>
    <row r="37" spans="1:3" x14ac:dyDescent="0.3">
      <c r="A37" s="26" t="s">
        <v>60</v>
      </c>
      <c r="B37" s="26">
        <f>COUNTIF('Applicant Insights'!$L$6:$L$350,"Medium")</f>
        <v>95</v>
      </c>
      <c r="C37" s="27">
        <f>IFERROR(B37/318,0)</f>
        <v>0.29874213836477986</v>
      </c>
    </row>
    <row r="38" spans="1:3" x14ac:dyDescent="0.3">
      <c r="A38" s="26" t="s">
        <v>37</v>
      </c>
      <c r="B38" s="26">
        <f>COUNTIF('Applicant Insights'!$L$6:$L$350,"Low")</f>
        <v>199</v>
      </c>
      <c r="C38" s="27">
        <f>IFERROR(B38/318,0)</f>
        <v>0.62578616352201255</v>
      </c>
    </row>
    <row r="40" spans="1:3" x14ac:dyDescent="0.3">
      <c r="A40" s="25" t="s">
        <v>20</v>
      </c>
      <c r="B40" s="25" t="s">
        <v>1477</v>
      </c>
      <c r="C40" s="25" t="s">
        <v>1478</v>
      </c>
    </row>
    <row r="41" spans="1:3" x14ac:dyDescent="0.3">
      <c r="A41" s="26" t="s">
        <v>146</v>
      </c>
      <c r="B41" s="26">
        <f>COUNTIF('Applicant Insights'!$M$6:$M$350,"High")</f>
        <v>15</v>
      </c>
      <c r="C41" s="27">
        <f>IFERROR(B41/318,0)</f>
        <v>4.716981132075472E-2</v>
      </c>
    </row>
    <row r="42" spans="1:3" x14ac:dyDescent="0.3">
      <c r="A42" s="26" t="s">
        <v>60</v>
      </c>
      <c r="B42" s="26">
        <f>COUNTIF('Applicant Insights'!$M$6:$M$350,"Medium")</f>
        <v>88</v>
      </c>
      <c r="C42" s="27">
        <f>IFERROR(B42/318,0)</f>
        <v>0.27672955974842767</v>
      </c>
    </row>
    <row r="43" spans="1:3" x14ac:dyDescent="0.3">
      <c r="A43" s="26" t="s">
        <v>37</v>
      </c>
      <c r="B43" s="26">
        <f>COUNTIF('Applicant Insights'!$M$6:$M$350,"Low")</f>
        <v>215</v>
      </c>
      <c r="C43" s="27">
        <f>IFERROR(B43/318,0)</f>
        <v>0.67610062893081757</v>
      </c>
    </row>
    <row r="45" spans="1:3" x14ac:dyDescent="0.3">
      <c r="A45" s="25" t="s">
        <v>14</v>
      </c>
      <c r="B45" s="25" t="s">
        <v>1480</v>
      </c>
      <c r="C45" s="25" t="s">
        <v>1478</v>
      </c>
    </row>
    <row r="46" spans="1:3" x14ac:dyDescent="0.3">
      <c r="A46" s="26" t="s">
        <v>86</v>
      </c>
      <c r="B46" s="26">
        <f>COUNTIF('Applicant Insights'!$G$6:$G$350,"Homemaker")</f>
        <v>0</v>
      </c>
      <c r="C46" s="27">
        <f t="shared" ref="C46:C58" si="3">IFERROR(B46/318,0)</f>
        <v>0</v>
      </c>
    </row>
    <row r="47" spans="1:3" x14ac:dyDescent="0.3">
      <c r="A47" s="26" t="s">
        <v>85</v>
      </c>
      <c r="B47" s="26">
        <f>COUNTIF('Applicant Insights'!$G$6:$G$350,"Healthcare")</f>
        <v>7</v>
      </c>
      <c r="C47" s="27">
        <f t="shared" si="3"/>
        <v>2.20125786163522E-2</v>
      </c>
    </row>
    <row r="48" spans="1:3" x14ac:dyDescent="0.3">
      <c r="A48" s="26" t="s">
        <v>1481</v>
      </c>
      <c r="B48" s="26">
        <f>COUNTIF('Applicant Insights'!$G$6:$G$350,"Law")</f>
        <v>0</v>
      </c>
      <c r="C48" s="27">
        <f t="shared" si="3"/>
        <v>0</v>
      </c>
    </row>
    <row r="49" spans="1:3" x14ac:dyDescent="0.3">
      <c r="A49" s="26" t="s">
        <v>377</v>
      </c>
      <c r="B49" s="26">
        <f>COUNTIF('Applicant Insights'!$G$6:$G$350,"Teaching and academia")</f>
        <v>0</v>
      </c>
      <c r="C49" s="27">
        <f t="shared" si="3"/>
        <v>0</v>
      </c>
    </row>
    <row r="50" spans="1:3" x14ac:dyDescent="0.3">
      <c r="A50" s="26" t="s">
        <v>664</v>
      </c>
      <c r="B50" s="26">
        <f>COUNTIF('Applicant Insights'!$G$6:$G$350,"Government and defence")</f>
        <v>4</v>
      </c>
      <c r="C50" s="27">
        <f t="shared" si="3"/>
        <v>1.2578616352201259E-2</v>
      </c>
    </row>
    <row r="51" spans="1:3" x14ac:dyDescent="0.3">
      <c r="A51" s="26" t="s">
        <v>165</v>
      </c>
      <c r="B51" s="26">
        <f>COUNTIF('Applicant Insights'!$G$6:$G$350,"Business owner")</f>
        <v>38</v>
      </c>
      <c r="C51" s="27">
        <f t="shared" si="3"/>
        <v>0.11949685534591195</v>
      </c>
    </row>
    <row r="52" spans="1:3" x14ac:dyDescent="0.3">
      <c r="A52" s="26" t="s">
        <v>57</v>
      </c>
      <c r="B52" s="26">
        <f>COUNTIF('Applicant Insights'!$G$6:$G$350,"IT and software")</f>
        <v>137</v>
      </c>
      <c r="C52" s="27">
        <f t="shared" si="3"/>
        <v>0.4308176100628931</v>
      </c>
    </row>
    <row r="53" spans="1:3" x14ac:dyDescent="0.3">
      <c r="A53" s="26" t="s">
        <v>278</v>
      </c>
      <c r="B53" s="26">
        <f>COUNTIF('Applicant Insights'!$G$6:$G$350,"Banking and finance")</f>
        <v>6</v>
      </c>
      <c r="C53" s="27">
        <f t="shared" si="3"/>
        <v>1.8867924528301886E-2</v>
      </c>
    </row>
    <row r="54" spans="1:3" x14ac:dyDescent="0.3">
      <c r="A54" s="26" t="s">
        <v>363</v>
      </c>
      <c r="B54" s="26">
        <f>COUNTIF('Applicant Insights'!$G$6:$G$350,"Engineering (non-IT)")</f>
        <v>19</v>
      </c>
      <c r="C54" s="27">
        <f t="shared" si="3"/>
        <v>5.9748427672955975E-2</v>
      </c>
    </row>
    <row r="55" spans="1:3" x14ac:dyDescent="0.3">
      <c r="A55" s="26" t="s">
        <v>97</v>
      </c>
      <c r="B55" s="26">
        <f>COUNTIF('Applicant Insights'!$G$6:$G$350,"Management and consulting")</f>
        <v>30</v>
      </c>
      <c r="C55" s="27">
        <f t="shared" si="3"/>
        <v>9.4339622641509441E-2</v>
      </c>
    </row>
    <row r="56" spans="1:3" x14ac:dyDescent="0.3">
      <c r="A56" s="26" t="s">
        <v>152</v>
      </c>
      <c r="B56" s="26">
        <f>COUNTIF('Applicant Insights'!$G$6:$G$350,"Media, design and arts")</f>
        <v>6</v>
      </c>
      <c r="C56" s="27">
        <f t="shared" si="3"/>
        <v>1.8867924528301886E-2</v>
      </c>
    </row>
    <row r="57" spans="1:3" x14ac:dyDescent="0.3">
      <c r="A57" s="26" t="s">
        <v>268</v>
      </c>
      <c r="B57" s="26">
        <f>COUNTIF('Applicant Insights'!$G$6:$G$350,"Other")</f>
        <v>12</v>
      </c>
      <c r="C57" s="27">
        <f t="shared" si="3"/>
        <v>3.7735849056603772E-2</v>
      </c>
    </row>
    <row r="58" spans="1:3" x14ac:dyDescent="0.3">
      <c r="A58" s="26" t="s">
        <v>35</v>
      </c>
      <c r="B58" s="26">
        <f>COUNTIF('Applicant Insights'!$G$6:$G$350,"Not stated")</f>
        <v>59</v>
      </c>
      <c r="C58" s="27">
        <f t="shared" si="3"/>
        <v>0.18553459119496854</v>
      </c>
    </row>
    <row r="60" spans="1:3" x14ac:dyDescent="0.3">
      <c r="A60" s="25" t="s">
        <v>15</v>
      </c>
      <c r="B60" s="25" t="s">
        <v>1480</v>
      </c>
      <c r="C60" s="25" t="s">
        <v>1478</v>
      </c>
    </row>
    <row r="61" spans="1:3" x14ac:dyDescent="0.3">
      <c r="A61" s="26" t="s">
        <v>86</v>
      </c>
      <c r="B61" s="26">
        <f>COUNTIF('Applicant Insights'!$H$6:$H$350,"Homemaker")</f>
        <v>82</v>
      </c>
      <c r="C61" s="27">
        <f t="shared" ref="C61:C73" si="4">IFERROR(B61/318,0)</f>
        <v>0.25786163522012578</v>
      </c>
    </row>
    <row r="62" spans="1:3" x14ac:dyDescent="0.3">
      <c r="A62" s="26" t="s">
        <v>85</v>
      </c>
      <c r="B62" s="26">
        <f>COUNTIF('Applicant Insights'!$H$6:$H$350,"Healthcare")</f>
        <v>5</v>
      </c>
      <c r="C62" s="27">
        <f t="shared" si="4"/>
        <v>1.5723270440251572E-2</v>
      </c>
    </row>
    <row r="63" spans="1:3" x14ac:dyDescent="0.3">
      <c r="A63" s="26" t="s">
        <v>1481</v>
      </c>
      <c r="B63" s="26">
        <f>COUNTIF('Applicant Insights'!$H$6:$H$350,"Law")</f>
        <v>0</v>
      </c>
      <c r="C63" s="27">
        <f t="shared" si="4"/>
        <v>0</v>
      </c>
    </row>
    <row r="64" spans="1:3" x14ac:dyDescent="0.3">
      <c r="A64" s="26" t="s">
        <v>377</v>
      </c>
      <c r="B64" s="26">
        <f>COUNTIF('Applicant Insights'!$H$6:$H$350,"Teaching and academia")</f>
        <v>12</v>
      </c>
      <c r="C64" s="27">
        <f t="shared" si="4"/>
        <v>3.7735849056603772E-2</v>
      </c>
    </row>
    <row r="65" spans="1:3" x14ac:dyDescent="0.3">
      <c r="A65" s="26" t="s">
        <v>664</v>
      </c>
      <c r="B65" s="26">
        <f>COUNTIF('Applicant Insights'!$H$6:$H$350,"Government and defence")</f>
        <v>0</v>
      </c>
      <c r="C65" s="27">
        <f t="shared" si="4"/>
        <v>0</v>
      </c>
    </row>
    <row r="66" spans="1:3" x14ac:dyDescent="0.3">
      <c r="A66" s="26" t="s">
        <v>165</v>
      </c>
      <c r="B66" s="26">
        <f>COUNTIF('Applicant Insights'!$H$6:$H$350,"Business owner")</f>
        <v>22</v>
      </c>
      <c r="C66" s="27">
        <f t="shared" si="4"/>
        <v>6.9182389937106917E-2</v>
      </c>
    </row>
    <row r="67" spans="1:3" x14ac:dyDescent="0.3">
      <c r="A67" s="26" t="s">
        <v>57</v>
      </c>
      <c r="B67" s="26">
        <f>COUNTIF('Applicant Insights'!$H$6:$H$350,"IT and software")</f>
        <v>81</v>
      </c>
      <c r="C67" s="27">
        <f t="shared" si="4"/>
        <v>0.25471698113207547</v>
      </c>
    </row>
    <row r="68" spans="1:3" x14ac:dyDescent="0.3">
      <c r="A68" s="26" t="s">
        <v>278</v>
      </c>
      <c r="B68" s="26">
        <f>COUNTIF('Applicant Insights'!$H$6:$H$350,"Banking and finance")</f>
        <v>8</v>
      </c>
      <c r="C68" s="27">
        <f t="shared" si="4"/>
        <v>2.5157232704402517E-2</v>
      </c>
    </row>
    <row r="69" spans="1:3" x14ac:dyDescent="0.3">
      <c r="A69" s="26" t="s">
        <v>363</v>
      </c>
      <c r="B69" s="26">
        <f>COUNTIF('Applicant Insights'!$H$6:$H$350,"Engineering (non-IT)")</f>
        <v>1</v>
      </c>
      <c r="C69" s="27">
        <f t="shared" si="4"/>
        <v>3.1446540880503146E-3</v>
      </c>
    </row>
    <row r="70" spans="1:3" x14ac:dyDescent="0.3">
      <c r="A70" s="26" t="s">
        <v>97</v>
      </c>
      <c r="B70" s="26">
        <f>COUNTIF('Applicant Insights'!$H$6:$H$350,"Management and consulting")</f>
        <v>27</v>
      </c>
      <c r="C70" s="27">
        <f t="shared" si="4"/>
        <v>8.4905660377358486E-2</v>
      </c>
    </row>
    <row r="71" spans="1:3" x14ac:dyDescent="0.3">
      <c r="A71" s="26" t="s">
        <v>152</v>
      </c>
      <c r="B71" s="26">
        <f>COUNTIF('Applicant Insights'!$H$6:$H$350,"Media, design and arts")</f>
        <v>5</v>
      </c>
      <c r="C71" s="27">
        <f t="shared" si="4"/>
        <v>1.5723270440251572E-2</v>
      </c>
    </row>
    <row r="72" spans="1:3" x14ac:dyDescent="0.3">
      <c r="A72" s="26" t="s">
        <v>268</v>
      </c>
      <c r="B72" s="26">
        <f>COUNTIF('Applicant Insights'!$H$6:$H$350,"Other")</f>
        <v>16</v>
      </c>
      <c r="C72" s="27">
        <f t="shared" si="4"/>
        <v>5.0314465408805034E-2</v>
      </c>
    </row>
    <row r="73" spans="1:3" x14ac:dyDescent="0.3">
      <c r="A73" s="26" t="s">
        <v>35</v>
      </c>
      <c r="B73" s="26">
        <f>COUNTIF('Applicant Insights'!$H$6:$H$350,"Not stated")</f>
        <v>59</v>
      </c>
      <c r="C73" s="27">
        <f t="shared" si="4"/>
        <v>0.18553459119496854</v>
      </c>
    </row>
    <row r="75" spans="1:3" x14ac:dyDescent="0.3">
      <c r="A75" s="25" t="s">
        <v>1482</v>
      </c>
      <c r="B75" s="25" t="s">
        <v>1477</v>
      </c>
      <c r="C75" s="25" t="s">
        <v>1478</v>
      </c>
    </row>
    <row r="76" spans="1:3" x14ac:dyDescent="0.3">
      <c r="A76" s="26" t="s">
        <v>138</v>
      </c>
      <c r="B76">
        <f>COUNTIF('Applicant Insights'!$U$6:$U$350,"*Holistic, all-round development*")</f>
        <v>75</v>
      </c>
      <c r="C76" s="27">
        <f t="shared" ref="C76:C90" si="5">IFERROR(B76/318,0)</f>
        <v>0.23584905660377359</v>
      </c>
    </row>
    <row r="77" spans="1:3" x14ac:dyDescent="0.3">
      <c r="A77" s="26" t="s">
        <v>64</v>
      </c>
      <c r="B77">
        <f>COUNTIF('Applicant Insights'!$U$6:$U$350,"*Child-centric, individual attention*")</f>
        <v>43</v>
      </c>
      <c r="C77" s="27">
        <f t="shared" si="5"/>
        <v>0.13522012578616352</v>
      </c>
    </row>
    <row r="78" spans="1:3" x14ac:dyDescent="0.3">
      <c r="A78" s="26" t="s">
        <v>91</v>
      </c>
      <c r="B78">
        <f>COUNTIF('Applicant Insights'!$U$6:$U$350,"*Stress-free, joyful learning*")</f>
        <v>47</v>
      </c>
      <c r="C78" s="27">
        <f t="shared" si="5"/>
        <v>0.14779874213836477</v>
      </c>
    </row>
    <row r="79" spans="1:3" x14ac:dyDescent="0.3">
      <c r="A79" s="26" t="s">
        <v>174</v>
      </c>
      <c r="B79">
        <f>COUNTIF('Applicant Insights'!$U$6:$U$350,"*Experiential, hands-on learning*")</f>
        <v>90</v>
      </c>
      <c r="C79" s="27">
        <f t="shared" si="5"/>
        <v>0.28301886792452829</v>
      </c>
    </row>
    <row r="80" spans="1:3" x14ac:dyDescent="0.3">
      <c r="A80" s="26" t="s">
        <v>367</v>
      </c>
      <c r="B80">
        <f>COUNTIF('Applicant Insights'!$U$6:$U$350,"*Values, nurturing environment and inclusion*")</f>
        <v>104</v>
      </c>
      <c r="C80" s="27">
        <f t="shared" si="5"/>
        <v>0.32704402515723269</v>
      </c>
    </row>
    <row r="81" spans="1:3" x14ac:dyDescent="0.3">
      <c r="A81" s="26" t="s">
        <v>311</v>
      </c>
      <c r="B81">
        <f>COUNTIF('Applicant Insights'!$U$6:$U$350,"*Cambridge, international curriculum*")</f>
        <v>42</v>
      </c>
      <c r="C81" s="27">
        <f t="shared" si="5"/>
        <v>0.13207547169811321</v>
      </c>
    </row>
    <row r="82" spans="1:3" x14ac:dyDescent="0.3">
      <c r="A82" s="26" t="s">
        <v>200</v>
      </c>
      <c r="B82">
        <f>COUNTIF('Applicant Insights'!$U$6:$U$350,"*Life skills, confidence, leadership*")</f>
        <v>82</v>
      </c>
      <c r="C82" s="27">
        <f t="shared" si="5"/>
        <v>0.25786163522012578</v>
      </c>
    </row>
    <row r="83" spans="1:3" x14ac:dyDescent="0.3">
      <c r="A83" s="26" t="s">
        <v>261</v>
      </c>
      <c r="B83">
        <f>COUNTIF('Applicant Insights'!$U$6:$U$350,"*Teachers and facilitators*")</f>
        <v>12</v>
      </c>
      <c r="C83" s="27">
        <f t="shared" si="5"/>
        <v>3.7735849056603772E-2</v>
      </c>
    </row>
    <row r="84" spans="1:3" x14ac:dyDescent="0.3">
      <c r="A84" s="26" t="s">
        <v>181</v>
      </c>
      <c r="B84">
        <f>COUNTIF('Applicant Insights'!$U$6:$U$350,"*Recommendation and reputation*")</f>
        <v>25</v>
      </c>
      <c r="C84" s="27">
        <f t="shared" si="5"/>
        <v>7.8616352201257858E-2</v>
      </c>
    </row>
    <row r="85" spans="1:3" x14ac:dyDescent="0.3">
      <c r="A85" s="26" t="s">
        <v>357</v>
      </c>
      <c r="B85">
        <f>COUNTIF('Applicant Insights'!$U$6:$U$350,"*Proximity and convenience*")</f>
        <v>11</v>
      </c>
      <c r="C85" s="27">
        <f t="shared" si="5"/>
        <v>3.4591194968553458E-2</v>
      </c>
    </row>
    <row r="86" spans="1:3" x14ac:dyDescent="0.3">
      <c r="A86" s="26" t="s">
        <v>1483</v>
      </c>
      <c r="B86">
        <f>COUNTIF('Applicant Insights'!$U$6:$U$350,"*Sibling or continuity*")</f>
        <v>7</v>
      </c>
      <c r="C86" s="27">
        <f t="shared" si="5"/>
        <v>2.20125786163522E-2</v>
      </c>
    </row>
    <row r="87" spans="1:3" x14ac:dyDescent="0.3">
      <c r="A87" s="26" t="s">
        <v>167</v>
      </c>
      <c r="B87">
        <f>COUNTIF('Applicant Insights'!$U$6:$U$350,"*Sports and physical activity*")</f>
        <v>17</v>
      </c>
      <c r="C87" s="27">
        <f t="shared" si="5"/>
        <v>5.3459119496855348E-2</v>
      </c>
    </row>
    <row r="88" spans="1:3" x14ac:dyDescent="0.3">
      <c r="A88" s="26" t="s">
        <v>409</v>
      </c>
      <c r="B88">
        <f>COUNTIF('Applicant Insights'!$U$6:$U$350,"*Quality and standards of education*")</f>
        <v>13</v>
      </c>
      <c r="C88" s="27">
        <f t="shared" si="5"/>
        <v>4.0880503144654086E-2</v>
      </c>
    </row>
    <row r="89" spans="1:3" x14ac:dyDescent="0.3">
      <c r="A89" s="26" t="s">
        <v>207</v>
      </c>
      <c r="B89">
        <f>COUNTIF('Applicant Insights'!$U$6:$U$350,"*Interest and passion-led learning*")</f>
        <v>60</v>
      </c>
      <c r="C89" s="27">
        <f t="shared" si="5"/>
        <v>0.18867924528301888</v>
      </c>
    </row>
    <row r="90" spans="1:3" x14ac:dyDescent="0.3">
      <c r="A90" s="26" t="s">
        <v>1484</v>
      </c>
      <c r="B90">
        <f>COUNTIF('Applicant Insights'!$U$6:$U$350,"*Special needs support*")</f>
        <v>1</v>
      </c>
      <c r="C90" s="27">
        <f t="shared" si="5"/>
        <v>3.1446540880503146E-3</v>
      </c>
    </row>
    <row r="92" spans="1:3" x14ac:dyDescent="0.3">
      <c r="A92" s="28" t="s">
        <v>1485</v>
      </c>
      <c r="B92">
        <f>COUNTIF('Applicant Insights'!$R$6:$R$350,"&lt;&gt;0")-COUNTBLANK('Applicant Insights'!$R$6:$R$350)</f>
        <v>318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50"/>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5" customWidth="1"/>
    <col min="2" max="2" width="24" customWidth="1"/>
    <col min="3" max="3" width="11" customWidth="1"/>
    <col min="4" max="4" width="12" customWidth="1"/>
    <col min="5" max="6" width="40" customWidth="1"/>
    <col min="7" max="8" width="22" customWidth="1"/>
    <col min="9" max="9" width="17" customWidth="1"/>
    <col min="10" max="10" width="13" customWidth="1"/>
    <col min="11" max="11" width="11" customWidth="1"/>
    <col min="12" max="13" width="13" customWidth="1"/>
    <col min="14" max="14" width="20" customWidth="1"/>
    <col min="15" max="15" width="22" customWidth="1"/>
    <col min="16" max="16" width="11" customWidth="1"/>
    <col min="17" max="17" width="26" customWidth="1"/>
    <col min="18" max="18" width="22" customWidth="1"/>
    <col min="19" max="19" width="13" customWidth="1"/>
    <col min="20" max="20" width="30" customWidth="1"/>
    <col min="21" max="21" width="45" customWidth="1"/>
    <col min="22" max="22" width="60" customWidth="1"/>
  </cols>
  <sheetData>
    <row r="1" spans="1:22" ht="21" x14ac:dyDescent="0.4">
      <c r="A1" s="7" t="s">
        <v>0</v>
      </c>
    </row>
    <row r="2" spans="1:22" x14ac:dyDescent="0.3">
      <c r="A2" s="8" t="s">
        <v>1</v>
      </c>
    </row>
    <row r="4" spans="1:22" x14ac:dyDescent="0.3">
      <c r="A4" s="6" t="s">
        <v>2</v>
      </c>
      <c r="B4" s="6"/>
      <c r="C4" s="6"/>
      <c r="D4" s="6"/>
      <c r="E4" s="5" t="s">
        <v>3</v>
      </c>
      <c r="F4" s="5"/>
      <c r="G4" s="5"/>
      <c r="H4" s="5"/>
      <c r="I4" s="4" t="s">
        <v>4</v>
      </c>
      <c r="J4" s="4"/>
      <c r="K4" s="4"/>
      <c r="L4" s="3" t="s">
        <v>5</v>
      </c>
      <c r="M4" s="3"/>
      <c r="N4" s="3"/>
      <c r="O4" s="2" t="s">
        <v>6</v>
      </c>
      <c r="P4" s="2"/>
      <c r="Q4" s="2"/>
      <c r="R4" s="2"/>
      <c r="S4" s="2"/>
      <c r="T4" s="1" t="s">
        <v>7</v>
      </c>
      <c r="U4" s="1"/>
      <c r="V4" s="1"/>
    </row>
    <row r="5" spans="1:22" ht="31.5" customHeight="1" x14ac:dyDescent="0.3">
      <c r="A5" s="9" t="s">
        <v>8</v>
      </c>
      <c r="B5" s="9" t="s">
        <v>9</v>
      </c>
      <c r="C5" s="9" t="s">
        <v>10</v>
      </c>
      <c r="D5" s="9" t="s">
        <v>11</v>
      </c>
      <c r="E5" s="9" t="s">
        <v>12</v>
      </c>
      <c r="F5" s="9" t="s">
        <v>13</v>
      </c>
      <c r="G5" s="9" t="s">
        <v>14</v>
      </c>
      <c r="H5" s="9" t="s">
        <v>15</v>
      </c>
      <c r="I5" s="9" t="s">
        <v>16</v>
      </c>
      <c r="J5" s="9" t="s">
        <v>17</v>
      </c>
      <c r="K5" s="9" t="s">
        <v>18</v>
      </c>
      <c r="L5" s="9" t="s">
        <v>19</v>
      </c>
      <c r="M5" s="9" t="s">
        <v>20</v>
      </c>
      <c r="N5" s="9" t="s">
        <v>21</v>
      </c>
      <c r="O5" s="9" t="s">
        <v>22</v>
      </c>
      <c r="P5" s="9" t="s">
        <v>23</v>
      </c>
      <c r="Q5" s="9" t="s">
        <v>24</v>
      </c>
      <c r="R5" s="9" t="s">
        <v>25</v>
      </c>
      <c r="S5" s="9" t="s">
        <v>26</v>
      </c>
      <c r="T5" s="9" t="s">
        <v>27</v>
      </c>
      <c r="U5" s="9" t="s">
        <v>28</v>
      </c>
      <c r="V5" s="9" t="s">
        <v>29</v>
      </c>
    </row>
    <row r="6" spans="1:22" x14ac:dyDescent="0.3">
      <c r="A6" s="10" t="s">
        <v>30</v>
      </c>
      <c r="B6" s="11"/>
      <c r="C6" s="11"/>
      <c r="D6" s="11"/>
      <c r="E6" s="11"/>
      <c r="F6" s="11"/>
      <c r="G6" s="11"/>
      <c r="H6" s="11"/>
      <c r="I6" s="11"/>
      <c r="J6" s="11"/>
      <c r="K6" s="11"/>
      <c r="L6" s="11"/>
      <c r="M6" s="11"/>
      <c r="N6" s="11"/>
      <c r="O6" s="11"/>
      <c r="P6" s="11"/>
      <c r="Q6" s="11"/>
      <c r="R6" s="11"/>
      <c r="S6" s="11"/>
      <c r="T6" s="11"/>
      <c r="U6" s="11"/>
      <c r="V6" s="11"/>
    </row>
    <row r="7" spans="1:22" ht="34.200000000000003" x14ac:dyDescent="0.3">
      <c r="A7" s="12">
        <v>1</v>
      </c>
      <c r="B7" s="13" t="s">
        <v>31</v>
      </c>
      <c r="C7" s="12" t="s">
        <v>32</v>
      </c>
      <c r="D7" s="12" t="s">
        <v>33</v>
      </c>
      <c r="E7" s="14" t="s">
        <v>34</v>
      </c>
      <c r="F7" s="14" t="s">
        <v>34</v>
      </c>
      <c r="G7" s="14" t="s">
        <v>35</v>
      </c>
      <c r="H7" s="14" t="s">
        <v>35</v>
      </c>
      <c r="I7" s="14" t="s">
        <v>36</v>
      </c>
      <c r="J7" s="12" t="s">
        <v>34</v>
      </c>
      <c r="K7" s="12" t="s">
        <v>34</v>
      </c>
      <c r="L7" s="15" t="s">
        <v>37</v>
      </c>
      <c r="M7" s="15" t="s">
        <v>37</v>
      </c>
      <c r="N7" s="14"/>
      <c r="O7" s="14" t="s">
        <v>38</v>
      </c>
      <c r="P7" s="12" t="s">
        <v>34</v>
      </c>
      <c r="Q7" s="16" t="s">
        <v>39</v>
      </c>
      <c r="R7" s="14" t="s">
        <v>40</v>
      </c>
      <c r="S7" s="12">
        <v>0</v>
      </c>
      <c r="T7" s="14" t="s">
        <v>41</v>
      </c>
      <c r="U7" s="14" t="s">
        <v>41</v>
      </c>
      <c r="V7" s="17"/>
    </row>
    <row r="8" spans="1:22" ht="34.200000000000003" x14ac:dyDescent="0.3">
      <c r="A8" s="12">
        <v>2</v>
      </c>
      <c r="B8" s="13" t="s">
        <v>42</v>
      </c>
      <c r="C8" s="12" t="s">
        <v>32</v>
      </c>
      <c r="D8" s="12" t="s">
        <v>33</v>
      </c>
      <c r="E8" s="14" t="s">
        <v>34</v>
      </c>
      <c r="F8" s="14" t="s">
        <v>34</v>
      </c>
      <c r="G8" s="14" t="s">
        <v>35</v>
      </c>
      <c r="H8" s="14" t="s">
        <v>35</v>
      </c>
      <c r="I8" s="14" t="s">
        <v>36</v>
      </c>
      <c r="J8" s="12" t="s">
        <v>34</v>
      </c>
      <c r="K8" s="12" t="s">
        <v>34</v>
      </c>
      <c r="L8" s="15" t="s">
        <v>37</v>
      </c>
      <c r="M8" s="15" t="s">
        <v>37</v>
      </c>
      <c r="N8" s="14"/>
      <c r="O8" s="14" t="s">
        <v>38</v>
      </c>
      <c r="P8" s="12" t="s">
        <v>34</v>
      </c>
      <c r="Q8" s="16" t="s">
        <v>39</v>
      </c>
      <c r="R8" s="14" t="s">
        <v>40</v>
      </c>
      <c r="S8" s="12">
        <v>0</v>
      </c>
      <c r="T8" s="14" t="s">
        <v>41</v>
      </c>
      <c r="U8" s="14" t="s">
        <v>41</v>
      </c>
      <c r="V8" s="17"/>
    </row>
    <row r="9" spans="1:22" ht="34.200000000000003" x14ac:dyDescent="0.3">
      <c r="A9" s="12">
        <v>3</v>
      </c>
      <c r="B9" s="13" t="s">
        <v>43</v>
      </c>
      <c r="C9" s="12" t="s">
        <v>32</v>
      </c>
      <c r="D9" s="12" t="s">
        <v>33</v>
      </c>
      <c r="E9" s="14" t="s">
        <v>34</v>
      </c>
      <c r="F9" s="14" t="s">
        <v>34</v>
      </c>
      <c r="G9" s="14" t="s">
        <v>35</v>
      </c>
      <c r="H9" s="14" t="s">
        <v>35</v>
      </c>
      <c r="I9" s="14" t="s">
        <v>36</v>
      </c>
      <c r="J9" s="12" t="s">
        <v>34</v>
      </c>
      <c r="K9" s="12" t="s">
        <v>34</v>
      </c>
      <c r="L9" s="15" t="s">
        <v>37</v>
      </c>
      <c r="M9" s="15" t="s">
        <v>37</v>
      </c>
      <c r="N9" s="14"/>
      <c r="O9" s="14" t="s">
        <v>38</v>
      </c>
      <c r="P9" s="12" t="s">
        <v>34</v>
      </c>
      <c r="Q9" s="16" t="s">
        <v>39</v>
      </c>
      <c r="R9" s="14" t="s">
        <v>40</v>
      </c>
      <c r="S9" s="12">
        <v>0</v>
      </c>
      <c r="T9" s="14" t="s">
        <v>41</v>
      </c>
      <c r="U9" s="14" t="s">
        <v>41</v>
      </c>
      <c r="V9" s="17"/>
    </row>
    <row r="10" spans="1:22" ht="34.200000000000003" x14ac:dyDescent="0.3">
      <c r="A10" s="12">
        <v>4</v>
      </c>
      <c r="B10" s="13" t="s">
        <v>44</v>
      </c>
      <c r="C10" s="12" t="s">
        <v>32</v>
      </c>
      <c r="D10" s="12" t="s">
        <v>33</v>
      </c>
      <c r="E10" s="14" t="s">
        <v>34</v>
      </c>
      <c r="F10" s="14" t="s">
        <v>34</v>
      </c>
      <c r="G10" s="14" t="s">
        <v>35</v>
      </c>
      <c r="H10" s="14" t="s">
        <v>35</v>
      </c>
      <c r="I10" s="14" t="s">
        <v>36</v>
      </c>
      <c r="J10" s="12" t="s">
        <v>34</v>
      </c>
      <c r="K10" s="12" t="s">
        <v>34</v>
      </c>
      <c r="L10" s="15" t="s">
        <v>37</v>
      </c>
      <c r="M10" s="15" t="s">
        <v>37</v>
      </c>
      <c r="N10" s="14"/>
      <c r="O10" s="14" t="s">
        <v>38</v>
      </c>
      <c r="P10" s="12" t="s">
        <v>34</v>
      </c>
      <c r="Q10" s="16" t="s">
        <v>39</v>
      </c>
      <c r="R10" s="14" t="s">
        <v>40</v>
      </c>
      <c r="S10" s="12">
        <v>0</v>
      </c>
      <c r="T10" s="14" t="s">
        <v>41</v>
      </c>
      <c r="U10" s="14" t="s">
        <v>41</v>
      </c>
      <c r="V10" s="17"/>
    </row>
    <row r="11" spans="1:22" ht="34.200000000000003" x14ac:dyDescent="0.3">
      <c r="A11" s="12">
        <v>5</v>
      </c>
      <c r="B11" s="13" t="s">
        <v>45</v>
      </c>
      <c r="C11" s="12" t="s">
        <v>32</v>
      </c>
      <c r="D11" s="12" t="s">
        <v>33</v>
      </c>
      <c r="E11" s="14" t="s">
        <v>34</v>
      </c>
      <c r="F11" s="14" t="s">
        <v>34</v>
      </c>
      <c r="G11" s="14" t="s">
        <v>35</v>
      </c>
      <c r="H11" s="14" t="s">
        <v>35</v>
      </c>
      <c r="I11" s="14" t="s">
        <v>36</v>
      </c>
      <c r="J11" s="12" t="s">
        <v>34</v>
      </c>
      <c r="K11" s="12" t="s">
        <v>34</v>
      </c>
      <c r="L11" s="15" t="s">
        <v>37</v>
      </c>
      <c r="M11" s="15" t="s">
        <v>37</v>
      </c>
      <c r="N11" s="14"/>
      <c r="O11" s="14" t="s">
        <v>38</v>
      </c>
      <c r="P11" s="12" t="s">
        <v>34</v>
      </c>
      <c r="Q11" s="16" t="s">
        <v>39</v>
      </c>
      <c r="R11" s="14" t="s">
        <v>40</v>
      </c>
      <c r="S11" s="12">
        <v>0</v>
      </c>
      <c r="T11" s="14" t="s">
        <v>41</v>
      </c>
      <c r="U11" s="14" t="s">
        <v>41</v>
      </c>
      <c r="V11" s="17"/>
    </row>
    <row r="12" spans="1:22" ht="34.200000000000003" x14ac:dyDescent="0.3">
      <c r="A12" s="12">
        <v>6</v>
      </c>
      <c r="B12" s="13" t="s">
        <v>46</v>
      </c>
      <c r="C12" s="12" t="s">
        <v>32</v>
      </c>
      <c r="D12" s="12" t="s">
        <v>33</v>
      </c>
      <c r="E12" s="14" t="s">
        <v>34</v>
      </c>
      <c r="F12" s="14" t="s">
        <v>34</v>
      </c>
      <c r="G12" s="14" t="s">
        <v>35</v>
      </c>
      <c r="H12" s="14" t="s">
        <v>35</v>
      </c>
      <c r="I12" s="14" t="s">
        <v>36</v>
      </c>
      <c r="J12" s="12" t="s">
        <v>34</v>
      </c>
      <c r="K12" s="12" t="s">
        <v>34</v>
      </c>
      <c r="L12" s="15" t="s">
        <v>37</v>
      </c>
      <c r="M12" s="15" t="s">
        <v>37</v>
      </c>
      <c r="N12" s="14"/>
      <c r="O12" s="14" t="s">
        <v>38</v>
      </c>
      <c r="P12" s="12" t="s">
        <v>34</v>
      </c>
      <c r="Q12" s="16" t="s">
        <v>39</v>
      </c>
      <c r="R12" s="14" t="s">
        <v>40</v>
      </c>
      <c r="S12" s="12">
        <v>0</v>
      </c>
      <c r="T12" s="14" t="s">
        <v>41</v>
      </c>
      <c r="U12" s="14" t="s">
        <v>41</v>
      </c>
      <c r="V12" s="17"/>
    </row>
    <row r="13" spans="1:22" ht="34.200000000000003" x14ac:dyDescent="0.3">
      <c r="A13" s="12">
        <v>7</v>
      </c>
      <c r="B13" s="13" t="s">
        <v>47</v>
      </c>
      <c r="C13" s="12" t="s">
        <v>32</v>
      </c>
      <c r="D13" s="12" t="s">
        <v>33</v>
      </c>
      <c r="E13" s="14" t="s">
        <v>34</v>
      </c>
      <c r="F13" s="14" t="s">
        <v>34</v>
      </c>
      <c r="G13" s="14" t="s">
        <v>35</v>
      </c>
      <c r="H13" s="14" t="s">
        <v>35</v>
      </c>
      <c r="I13" s="14" t="s">
        <v>36</v>
      </c>
      <c r="J13" s="12" t="s">
        <v>34</v>
      </c>
      <c r="K13" s="12" t="s">
        <v>34</v>
      </c>
      <c r="L13" s="15" t="s">
        <v>37</v>
      </c>
      <c r="M13" s="15" t="s">
        <v>37</v>
      </c>
      <c r="N13" s="14"/>
      <c r="O13" s="14" t="s">
        <v>38</v>
      </c>
      <c r="P13" s="12" t="s">
        <v>34</v>
      </c>
      <c r="Q13" s="16" t="s">
        <v>39</v>
      </c>
      <c r="R13" s="14" t="s">
        <v>40</v>
      </c>
      <c r="S13" s="12">
        <v>0</v>
      </c>
      <c r="T13" s="14" t="s">
        <v>41</v>
      </c>
      <c r="U13" s="14" t="s">
        <v>41</v>
      </c>
      <c r="V13" s="17"/>
    </row>
    <row r="14" spans="1:22" ht="34.200000000000003" x14ac:dyDescent="0.3">
      <c r="A14" s="12">
        <v>8</v>
      </c>
      <c r="B14" s="13" t="s">
        <v>48</v>
      </c>
      <c r="C14" s="12" t="s">
        <v>32</v>
      </c>
      <c r="D14" s="12" t="s">
        <v>49</v>
      </c>
      <c r="E14" s="14" t="s">
        <v>34</v>
      </c>
      <c r="F14" s="14" t="s">
        <v>34</v>
      </c>
      <c r="G14" s="14" t="s">
        <v>35</v>
      </c>
      <c r="H14" s="14" t="s">
        <v>35</v>
      </c>
      <c r="I14" s="14" t="s">
        <v>36</v>
      </c>
      <c r="J14" s="12" t="s">
        <v>34</v>
      </c>
      <c r="K14" s="12" t="s">
        <v>34</v>
      </c>
      <c r="L14" s="15" t="s">
        <v>37</v>
      </c>
      <c r="M14" s="15" t="s">
        <v>37</v>
      </c>
      <c r="N14" s="14"/>
      <c r="O14" s="14" t="s">
        <v>38</v>
      </c>
      <c r="P14" s="12" t="s">
        <v>34</v>
      </c>
      <c r="Q14" s="16" t="s">
        <v>39</v>
      </c>
      <c r="R14" s="14" t="s">
        <v>40</v>
      </c>
      <c r="S14" s="12">
        <v>0</v>
      </c>
      <c r="T14" s="14" t="s">
        <v>41</v>
      </c>
      <c r="U14" s="14" t="s">
        <v>41</v>
      </c>
      <c r="V14" s="17"/>
    </row>
    <row r="15" spans="1:22" ht="34.200000000000003" x14ac:dyDescent="0.3">
      <c r="A15" s="12">
        <v>9</v>
      </c>
      <c r="B15" s="13" t="s">
        <v>50</v>
      </c>
      <c r="C15" s="12" t="s">
        <v>32</v>
      </c>
      <c r="D15" s="12" t="s">
        <v>51</v>
      </c>
      <c r="E15" s="14" t="s">
        <v>34</v>
      </c>
      <c r="F15" s="14" t="s">
        <v>34</v>
      </c>
      <c r="G15" s="14" t="s">
        <v>35</v>
      </c>
      <c r="H15" s="14" t="s">
        <v>35</v>
      </c>
      <c r="I15" s="14" t="s">
        <v>36</v>
      </c>
      <c r="J15" s="12" t="s">
        <v>34</v>
      </c>
      <c r="K15" s="12" t="s">
        <v>34</v>
      </c>
      <c r="L15" s="15" t="s">
        <v>37</v>
      </c>
      <c r="M15" s="15" t="s">
        <v>37</v>
      </c>
      <c r="N15" s="14"/>
      <c r="O15" s="14" t="s">
        <v>38</v>
      </c>
      <c r="P15" s="12" t="s">
        <v>34</v>
      </c>
      <c r="Q15" s="16" t="s">
        <v>39</v>
      </c>
      <c r="R15" s="14" t="s">
        <v>40</v>
      </c>
      <c r="S15" s="12">
        <v>0</v>
      </c>
      <c r="T15" s="14" t="s">
        <v>41</v>
      </c>
      <c r="U15" s="14" t="s">
        <v>41</v>
      </c>
      <c r="V15" s="17"/>
    </row>
    <row r="16" spans="1:22" ht="34.200000000000003" x14ac:dyDescent="0.3">
      <c r="A16" s="12">
        <v>10</v>
      </c>
      <c r="B16" s="13" t="s">
        <v>52</v>
      </c>
      <c r="C16" s="12" t="s">
        <v>32</v>
      </c>
      <c r="D16" s="12" t="s">
        <v>51</v>
      </c>
      <c r="E16" s="14" t="s">
        <v>34</v>
      </c>
      <c r="F16" s="14" t="s">
        <v>34</v>
      </c>
      <c r="G16" s="14" t="s">
        <v>35</v>
      </c>
      <c r="H16" s="14" t="s">
        <v>35</v>
      </c>
      <c r="I16" s="14" t="s">
        <v>36</v>
      </c>
      <c r="J16" s="12" t="s">
        <v>34</v>
      </c>
      <c r="K16" s="12" t="s">
        <v>34</v>
      </c>
      <c r="L16" s="15" t="s">
        <v>37</v>
      </c>
      <c r="M16" s="15" t="s">
        <v>37</v>
      </c>
      <c r="N16" s="14"/>
      <c r="O16" s="14" t="s">
        <v>38</v>
      </c>
      <c r="P16" s="12" t="s">
        <v>34</v>
      </c>
      <c r="Q16" s="16" t="s">
        <v>39</v>
      </c>
      <c r="R16" s="14" t="s">
        <v>40</v>
      </c>
      <c r="S16" s="12">
        <v>0</v>
      </c>
      <c r="T16" s="14" t="s">
        <v>41</v>
      </c>
      <c r="U16" s="14" t="s">
        <v>41</v>
      </c>
      <c r="V16" s="17"/>
    </row>
    <row r="17" spans="1:22" ht="34.200000000000003" x14ac:dyDescent="0.3">
      <c r="A17" s="12">
        <v>11</v>
      </c>
      <c r="B17" s="13" t="s">
        <v>53</v>
      </c>
      <c r="C17" s="12" t="s">
        <v>32</v>
      </c>
      <c r="D17" s="12" t="s">
        <v>51</v>
      </c>
      <c r="E17" s="14" t="s">
        <v>34</v>
      </c>
      <c r="F17" s="14" t="s">
        <v>34</v>
      </c>
      <c r="G17" s="14" t="s">
        <v>35</v>
      </c>
      <c r="H17" s="14" t="s">
        <v>35</v>
      </c>
      <c r="I17" s="14" t="s">
        <v>36</v>
      </c>
      <c r="J17" s="12" t="s">
        <v>34</v>
      </c>
      <c r="K17" s="12" t="s">
        <v>34</v>
      </c>
      <c r="L17" s="15" t="s">
        <v>37</v>
      </c>
      <c r="M17" s="15" t="s">
        <v>37</v>
      </c>
      <c r="N17" s="14"/>
      <c r="O17" s="14" t="s">
        <v>38</v>
      </c>
      <c r="P17" s="12" t="s">
        <v>34</v>
      </c>
      <c r="Q17" s="16" t="s">
        <v>39</v>
      </c>
      <c r="R17" s="14" t="s">
        <v>40</v>
      </c>
      <c r="S17" s="12">
        <v>0</v>
      </c>
      <c r="T17" s="14" t="s">
        <v>41</v>
      </c>
      <c r="U17" s="14" t="s">
        <v>41</v>
      </c>
      <c r="V17" s="17"/>
    </row>
    <row r="18" spans="1:22" ht="57" x14ac:dyDescent="0.3">
      <c r="A18" s="12">
        <v>12</v>
      </c>
      <c r="B18" s="13" t="s">
        <v>54</v>
      </c>
      <c r="C18" s="12" t="s">
        <v>32</v>
      </c>
      <c r="D18" s="12" t="s">
        <v>51</v>
      </c>
      <c r="E18" s="14" t="s">
        <v>55</v>
      </c>
      <c r="F18" s="14" t="s">
        <v>56</v>
      </c>
      <c r="G18" s="14" t="s">
        <v>57</v>
      </c>
      <c r="H18" s="14" t="s">
        <v>57</v>
      </c>
      <c r="I18" s="14" t="s">
        <v>58</v>
      </c>
      <c r="J18" s="12" t="s">
        <v>59</v>
      </c>
      <c r="K18" s="12" t="s">
        <v>60</v>
      </c>
      <c r="L18" s="18" t="s">
        <v>60</v>
      </c>
      <c r="M18" s="18" t="s">
        <v>60</v>
      </c>
      <c r="N18" s="14"/>
      <c r="O18" s="14" t="s">
        <v>61</v>
      </c>
      <c r="P18" s="12">
        <v>3</v>
      </c>
      <c r="Q18" s="19" t="s">
        <v>62</v>
      </c>
      <c r="R18" s="14" t="s">
        <v>63</v>
      </c>
      <c r="S18" s="12">
        <v>37</v>
      </c>
      <c r="T18" s="14" t="s">
        <v>64</v>
      </c>
      <c r="U18" s="14" t="s">
        <v>65</v>
      </c>
      <c r="V18" s="17" t="s">
        <v>66</v>
      </c>
    </row>
    <row r="19" spans="1:22" ht="34.200000000000003" x14ac:dyDescent="0.3">
      <c r="A19" s="12">
        <v>13</v>
      </c>
      <c r="B19" s="13" t="s">
        <v>67</v>
      </c>
      <c r="C19" s="12" t="s">
        <v>32</v>
      </c>
      <c r="D19" s="12" t="s">
        <v>68</v>
      </c>
      <c r="E19" s="14" t="s">
        <v>34</v>
      </c>
      <c r="F19" s="14" t="s">
        <v>34</v>
      </c>
      <c r="G19" s="14" t="s">
        <v>35</v>
      </c>
      <c r="H19" s="14" t="s">
        <v>35</v>
      </c>
      <c r="I19" s="14" t="s">
        <v>36</v>
      </c>
      <c r="J19" s="12" t="s">
        <v>34</v>
      </c>
      <c r="K19" s="12" t="s">
        <v>34</v>
      </c>
      <c r="L19" s="15" t="s">
        <v>37</v>
      </c>
      <c r="M19" s="15" t="s">
        <v>37</v>
      </c>
      <c r="N19" s="14"/>
      <c r="O19" s="14" t="s">
        <v>38</v>
      </c>
      <c r="P19" s="12" t="s">
        <v>34</v>
      </c>
      <c r="Q19" s="16" t="s">
        <v>39</v>
      </c>
      <c r="R19" s="14" t="s">
        <v>40</v>
      </c>
      <c r="S19" s="12">
        <v>0</v>
      </c>
      <c r="T19" s="14" t="s">
        <v>41</v>
      </c>
      <c r="U19" s="14" t="s">
        <v>41</v>
      </c>
      <c r="V19" s="17"/>
    </row>
    <row r="20" spans="1:22" ht="34.200000000000003" x14ac:dyDescent="0.3">
      <c r="A20" s="12">
        <v>14</v>
      </c>
      <c r="B20" s="13" t="s">
        <v>69</v>
      </c>
      <c r="C20" s="12" t="s">
        <v>32</v>
      </c>
      <c r="D20" s="12" t="s">
        <v>70</v>
      </c>
      <c r="E20" s="14" t="s">
        <v>34</v>
      </c>
      <c r="F20" s="14" t="s">
        <v>34</v>
      </c>
      <c r="G20" s="14" t="s">
        <v>35</v>
      </c>
      <c r="H20" s="14" t="s">
        <v>35</v>
      </c>
      <c r="I20" s="14" t="s">
        <v>36</v>
      </c>
      <c r="J20" s="12" t="s">
        <v>34</v>
      </c>
      <c r="K20" s="12" t="s">
        <v>34</v>
      </c>
      <c r="L20" s="15" t="s">
        <v>37</v>
      </c>
      <c r="M20" s="15" t="s">
        <v>37</v>
      </c>
      <c r="N20" s="14"/>
      <c r="O20" s="14" t="s">
        <v>38</v>
      </c>
      <c r="P20" s="12" t="s">
        <v>34</v>
      </c>
      <c r="Q20" s="16" t="s">
        <v>39</v>
      </c>
      <c r="R20" s="14" t="s">
        <v>40</v>
      </c>
      <c r="S20" s="12">
        <v>0</v>
      </c>
      <c r="T20" s="14" t="s">
        <v>41</v>
      </c>
      <c r="U20" s="14" t="s">
        <v>41</v>
      </c>
      <c r="V20" s="17"/>
    </row>
    <row r="21" spans="1:22" ht="34.200000000000003" x14ac:dyDescent="0.3">
      <c r="A21" s="12">
        <v>15</v>
      </c>
      <c r="B21" s="13" t="s">
        <v>71</v>
      </c>
      <c r="C21" s="12" t="s">
        <v>32</v>
      </c>
      <c r="D21" s="12" t="s">
        <v>70</v>
      </c>
      <c r="E21" s="14" t="s">
        <v>34</v>
      </c>
      <c r="F21" s="14" t="s">
        <v>34</v>
      </c>
      <c r="G21" s="14" t="s">
        <v>35</v>
      </c>
      <c r="H21" s="14" t="s">
        <v>35</v>
      </c>
      <c r="I21" s="14" t="s">
        <v>36</v>
      </c>
      <c r="J21" s="12" t="s">
        <v>34</v>
      </c>
      <c r="K21" s="12" t="s">
        <v>34</v>
      </c>
      <c r="L21" s="15" t="s">
        <v>37</v>
      </c>
      <c r="M21" s="15" t="s">
        <v>37</v>
      </c>
      <c r="N21" s="14"/>
      <c r="O21" s="14" t="s">
        <v>38</v>
      </c>
      <c r="P21" s="12" t="s">
        <v>34</v>
      </c>
      <c r="Q21" s="16" t="s">
        <v>39</v>
      </c>
      <c r="R21" s="14" t="s">
        <v>40</v>
      </c>
      <c r="S21" s="12">
        <v>0</v>
      </c>
      <c r="T21" s="14" t="s">
        <v>41</v>
      </c>
      <c r="U21" s="14" t="s">
        <v>41</v>
      </c>
      <c r="V21" s="17"/>
    </row>
    <row r="22" spans="1:22" ht="34.200000000000003" x14ac:dyDescent="0.3">
      <c r="A22" s="12">
        <v>16</v>
      </c>
      <c r="B22" s="13" t="s">
        <v>72</v>
      </c>
      <c r="C22" s="12" t="s">
        <v>32</v>
      </c>
      <c r="D22" s="12" t="s">
        <v>73</v>
      </c>
      <c r="E22" s="14" t="s">
        <v>34</v>
      </c>
      <c r="F22" s="14" t="s">
        <v>34</v>
      </c>
      <c r="G22" s="14" t="s">
        <v>35</v>
      </c>
      <c r="H22" s="14" t="s">
        <v>35</v>
      </c>
      <c r="I22" s="14" t="s">
        <v>36</v>
      </c>
      <c r="J22" s="12" t="s">
        <v>34</v>
      </c>
      <c r="K22" s="12" t="s">
        <v>34</v>
      </c>
      <c r="L22" s="15" t="s">
        <v>37</v>
      </c>
      <c r="M22" s="15" t="s">
        <v>37</v>
      </c>
      <c r="N22" s="14"/>
      <c r="O22" s="14" t="s">
        <v>38</v>
      </c>
      <c r="P22" s="12" t="s">
        <v>34</v>
      </c>
      <c r="Q22" s="16" t="s">
        <v>39</v>
      </c>
      <c r="R22" s="14" t="s">
        <v>40</v>
      </c>
      <c r="S22" s="12">
        <v>0</v>
      </c>
      <c r="T22" s="14" t="s">
        <v>41</v>
      </c>
      <c r="U22" s="14" t="s">
        <v>41</v>
      </c>
      <c r="V22" s="17"/>
    </row>
    <row r="23" spans="1:22" ht="34.200000000000003" x14ac:dyDescent="0.3">
      <c r="A23" s="12">
        <v>17</v>
      </c>
      <c r="B23" s="13" t="s">
        <v>74</v>
      </c>
      <c r="C23" s="12" t="s">
        <v>32</v>
      </c>
      <c r="D23" s="12" t="s">
        <v>75</v>
      </c>
      <c r="E23" s="14" t="s">
        <v>34</v>
      </c>
      <c r="F23" s="14" t="s">
        <v>34</v>
      </c>
      <c r="G23" s="14" t="s">
        <v>35</v>
      </c>
      <c r="H23" s="14" t="s">
        <v>35</v>
      </c>
      <c r="I23" s="14" t="s">
        <v>36</v>
      </c>
      <c r="J23" s="12" t="s">
        <v>34</v>
      </c>
      <c r="K23" s="12" t="s">
        <v>34</v>
      </c>
      <c r="L23" s="15" t="s">
        <v>37</v>
      </c>
      <c r="M23" s="15" t="s">
        <v>37</v>
      </c>
      <c r="N23" s="14"/>
      <c r="O23" s="14" t="s">
        <v>38</v>
      </c>
      <c r="P23" s="12" t="s">
        <v>34</v>
      </c>
      <c r="Q23" s="16" t="s">
        <v>39</v>
      </c>
      <c r="R23" s="14" t="s">
        <v>40</v>
      </c>
      <c r="S23" s="12">
        <v>0</v>
      </c>
      <c r="T23" s="14" t="s">
        <v>41</v>
      </c>
      <c r="U23" s="14" t="s">
        <v>41</v>
      </c>
      <c r="V23" s="17"/>
    </row>
    <row r="24" spans="1:22" ht="34.200000000000003" x14ac:dyDescent="0.3">
      <c r="A24" s="12">
        <v>18</v>
      </c>
      <c r="B24" s="13" t="s">
        <v>76</v>
      </c>
      <c r="C24" s="12" t="s">
        <v>32</v>
      </c>
      <c r="D24" s="12" t="s">
        <v>77</v>
      </c>
      <c r="E24" s="14" t="s">
        <v>34</v>
      </c>
      <c r="F24" s="14" t="s">
        <v>34</v>
      </c>
      <c r="G24" s="14" t="s">
        <v>35</v>
      </c>
      <c r="H24" s="14" t="s">
        <v>35</v>
      </c>
      <c r="I24" s="14" t="s">
        <v>36</v>
      </c>
      <c r="J24" s="12" t="s">
        <v>34</v>
      </c>
      <c r="K24" s="12" t="s">
        <v>34</v>
      </c>
      <c r="L24" s="15" t="s">
        <v>37</v>
      </c>
      <c r="M24" s="15" t="s">
        <v>37</v>
      </c>
      <c r="N24" s="14"/>
      <c r="O24" s="14" t="s">
        <v>38</v>
      </c>
      <c r="P24" s="12" t="s">
        <v>34</v>
      </c>
      <c r="Q24" s="16" t="s">
        <v>39</v>
      </c>
      <c r="R24" s="14" t="s">
        <v>40</v>
      </c>
      <c r="S24" s="12">
        <v>0</v>
      </c>
      <c r="T24" s="14" t="s">
        <v>41</v>
      </c>
      <c r="U24" s="14" t="s">
        <v>41</v>
      </c>
      <c r="V24" s="17"/>
    </row>
    <row r="25" spans="1:22" ht="34.200000000000003" x14ac:dyDescent="0.3">
      <c r="A25" s="12">
        <v>19</v>
      </c>
      <c r="B25" s="13" t="s">
        <v>78</v>
      </c>
      <c r="C25" s="12" t="s">
        <v>32</v>
      </c>
      <c r="D25" s="12" t="s">
        <v>79</v>
      </c>
      <c r="E25" s="14" t="s">
        <v>34</v>
      </c>
      <c r="F25" s="14" t="s">
        <v>34</v>
      </c>
      <c r="G25" s="14" t="s">
        <v>35</v>
      </c>
      <c r="H25" s="14" t="s">
        <v>35</v>
      </c>
      <c r="I25" s="14" t="s">
        <v>36</v>
      </c>
      <c r="J25" s="12" t="s">
        <v>34</v>
      </c>
      <c r="K25" s="12" t="s">
        <v>34</v>
      </c>
      <c r="L25" s="15" t="s">
        <v>37</v>
      </c>
      <c r="M25" s="15" t="s">
        <v>37</v>
      </c>
      <c r="N25" s="14"/>
      <c r="O25" s="14" t="s">
        <v>38</v>
      </c>
      <c r="P25" s="12" t="s">
        <v>34</v>
      </c>
      <c r="Q25" s="16" t="s">
        <v>39</v>
      </c>
      <c r="R25" s="14" t="s">
        <v>40</v>
      </c>
      <c r="S25" s="12">
        <v>0</v>
      </c>
      <c r="T25" s="14" t="s">
        <v>41</v>
      </c>
      <c r="U25" s="14" t="s">
        <v>41</v>
      </c>
      <c r="V25" s="17"/>
    </row>
    <row r="26" spans="1:22" ht="34.200000000000003" x14ac:dyDescent="0.3">
      <c r="A26" s="12">
        <v>20</v>
      </c>
      <c r="B26" s="13" t="s">
        <v>80</v>
      </c>
      <c r="C26" s="12" t="s">
        <v>32</v>
      </c>
      <c r="D26" s="12" t="s">
        <v>79</v>
      </c>
      <c r="E26" s="14" t="s">
        <v>34</v>
      </c>
      <c r="F26" s="14" t="s">
        <v>34</v>
      </c>
      <c r="G26" s="14" t="s">
        <v>35</v>
      </c>
      <c r="H26" s="14" t="s">
        <v>35</v>
      </c>
      <c r="I26" s="14" t="s">
        <v>36</v>
      </c>
      <c r="J26" s="12" t="s">
        <v>34</v>
      </c>
      <c r="K26" s="12" t="s">
        <v>34</v>
      </c>
      <c r="L26" s="15" t="s">
        <v>37</v>
      </c>
      <c r="M26" s="15" t="s">
        <v>37</v>
      </c>
      <c r="N26" s="14"/>
      <c r="O26" s="14" t="s">
        <v>38</v>
      </c>
      <c r="P26" s="12" t="s">
        <v>34</v>
      </c>
      <c r="Q26" s="16" t="s">
        <v>39</v>
      </c>
      <c r="R26" s="14" t="s">
        <v>40</v>
      </c>
      <c r="S26" s="12">
        <v>0</v>
      </c>
      <c r="T26" s="14" t="s">
        <v>41</v>
      </c>
      <c r="U26" s="14" t="s">
        <v>41</v>
      </c>
      <c r="V26" s="17"/>
    </row>
    <row r="27" spans="1:22" ht="34.200000000000003" x14ac:dyDescent="0.3">
      <c r="A27" s="12">
        <v>21</v>
      </c>
      <c r="B27" s="13" t="s">
        <v>81</v>
      </c>
      <c r="C27" s="12" t="s">
        <v>32</v>
      </c>
      <c r="D27" s="12" t="s">
        <v>82</v>
      </c>
      <c r="E27" s="14" t="s">
        <v>83</v>
      </c>
      <c r="F27" s="14" t="s">
        <v>84</v>
      </c>
      <c r="G27" s="14" t="s">
        <v>85</v>
      </c>
      <c r="H27" s="14" t="s">
        <v>86</v>
      </c>
      <c r="I27" s="14" t="s">
        <v>87</v>
      </c>
      <c r="J27" s="12" t="s">
        <v>88</v>
      </c>
      <c r="K27" s="12" t="s">
        <v>60</v>
      </c>
      <c r="L27" s="15" t="s">
        <v>37</v>
      </c>
      <c r="M27" s="15" t="s">
        <v>37</v>
      </c>
      <c r="N27" s="14"/>
      <c r="O27" s="14" t="s">
        <v>89</v>
      </c>
      <c r="P27" s="12">
        <v>1</v>
      </c>
      <c r="Q27" s="19" t="s">
        <v>62</v>
      </c>
      <c r="R27" s="14" t="s">
        <v>90</v>
      </c>
      <c r="S27" s="12">
        <v>13</v>
      </c>
      <c r="T27" s="14" t="s">
        <v>91</v>
      </c>
      <c r="U27" s="14" t="s">
        <v>91</v>
      </c>
      <c r="V27" s="17" t="s">
        <v>92</v>
      </c>
    </row>
    <row r="28" spans="1:22" ht="45.6" x14ac:dyDescent="0.3">
      <c r="A28" s="12">
        <v>22</v>
      </c>
      <c r="B28" s="13" t="s">
        <v>93</v>
      </c>
      <c r="C28" s="12" t="s">
        <v>32</v>
      </c>
      <c r="D28" s="12" t="s">
        <v>94</v>
      </c>
      <c r="E28" s="14" t="s">
        <v>95</v>
      </c>
      <c r="F28" s="14" t="s">
        <v>96</v>
      </c>
      <c r="G28" s="14" t="s">
        <v>97</v>
      </c>
      <c r="H28" s="14" t="s">
        <v>97</v>
      </c>
      <c r="I28" s="14" t="s">
        <v>98</v>
      </c>
      <c r="J28" s="12" t="s">
        <v>99</v>
      </c>
      <c r="K28" s="12" t="s">
        <v>60</v>
      </c>
      <c r="L28" s="18" t="s">
        <v>60</v>
      </c>
      <c r="M28" s="18" t="s">
        <v>60</v>
      </c>
      <c r="N28" s="14"/>
      <c r="O28" s="14" t="s">
        <v>100</v>
      </c>
      <c r="P28" s="12">
        <v>11</v>
      </c>
      <c r="Q28" s="20" t="s">
        <v>101</v>
      </c>
      <c r="R28" s="14" t="s">
        <v>40</v>
      </c>
      <c r="S28" s="12">
        <v>9</v>
      </c>
      <c r="T28" s="14" t="s">
        <v>64</v>
      </c>
      <c r="U28" s="14" t="s">
        <v>102</v>
      </c>
      <c r="V28" s="17" t="s">
        <v>103</v>
      </c>
    </row>
    <row r="29" spans="1:22" ht="34.200000000000003" x14ac:dyDescent="0.3">
      <c r="A29" s="12">
        <v>23</v>
      </c>
      <c r="B29" s="13" t="s">
        <v>104</v>
      </c>
      <c r="C29" s="12" t="s">
        <v>32</v>
      </c>
      <c r="D29" s="12" t="s">
        <v>105</v>
      </c>
      <c r="E29" s="14" t="s">
        <v>34</v>
      </c>
      <c r="F29" s="14" t="s">
        <v>34</v>
      </c>
      <c r="G29" s="14" t="s">
        <v>35</v>
      </c>
      <c r="H29" s="14" t="s">
        <v>35</v>
      </c>
      <c r="I29" s="14" t="s">
        <v>36</v>
      </c>
      <c r="J29" s="12" t="s">
        <v>34</v>
      </c>
      <c r="K29" s="12" t="s">
        <v>34</v>
      </c>
      <c r="L29" s="15" t="s">
        <v>37</v>
      </c>
      <c r="M29" s="15" t="s">
        <v>37</v>
      </c>
      <c r="N29" s="14"/>
      <c r="O29" s="14" t="s">
        <v>38</v>
      </c>
      <c r="P29" s="12" t="s">
        <v>34</v>
      </c>
      <c r="Q29" s="16" t="s">
        <v>39</v>
      </c>
      <c r="R29" s="14" t="s">
        <v>40</v>
      </c>
      <c r="S29" s="12">
        <v>0</v>
      </c>
      <c r="T29" s="14" t="s">
        <v>41</v>
      </c>
      <c r="U29" s="14" t="s">
        <v>41</v>
      </c>
      <c r="V29" s="17"/>
    </row>
    <row r="30" spans="1:22" ht="34.200000000000003" x14ac:dyDescent="0.3">
      <c r="A30" s="12">
        <v>24</v>
      </c>
      <c r="B30" s="13" t="s">
        <v>106</v>
      </c>
      <c r="C30" s="12" t="s">
        <v>32</v>
      </c>
      <c r="D30" s="12" t="s">
        <v>105</v>
      </c>
      <c r="E30" s="14" t="s">
        <v>34</v>
      </c>
      <c r="F30" s="14" t="s">
        <v>34</v>
      </c>
      <c r="G30" s="14" t="s">
        <v>35</v>
      </c>
      <c r="H30" s="14" t="s">
        <v>35</v>
      </c>
      <c r="I30" s="14" t="s">
        <v>36</v>
      </c>
      <c r="J30" s="12" t="s">
        <v>34</v>
      </c>
      <c r="K30" s="12" t="s">
        <v>34</v>
      </c>
      <c r="L30" s="15" t="s">
        <v>37</v>
      </c>
      <c r="M30" s="15" t="s">
        <v>37</v>
      </c>
      <c r="N30" s="14"/>
      <c r="O30" s="14" t="s">
        <v>38</v>
      </c>
      <c r="P30" s="12" t="s">
        <v>34</v>
      </c>
      <c r="Q30" s="16" t="s">
        <v>39</v>
      </c>
      <c r="R30" s="14" t="s">
        <v>40</v>
      </c>
      <c r="S30" s="12">
        <v>0</v>
      </c>
      <c r="T30" s="14" t="s">
        <v>41</v>
      </c>
      <c r="U30" s="14" t="s">
        <v>41</v>
      </c>
      <c r="V30" s="17"/>
    </row>
    <row r="31" spans="1:22" ht="34.200000000000003" x14ac:dyDescent="0.3">
      <c r="A31" s="12">
        <v>25</v>
      </c>
      <c r="B31" s="13" t="s">
        <v>107</v>
      </c>
      <c r="C31" s="12" t="s">
        <v>32</v>
      </c>
      <c r="D31" s="12" t="s">
        <v>105</v>
      </c>
      <c r="E31" s="14" t="s">
        <v>34</v>
      </c>
      <c r="F31" s="14" t="s">
        <v>34</v>
      </c>
      <c r="G31" s="14" t="s">
        <v>35</v>
      </c>
      <c r="H31" s="14" t="s">
        <v>35</v>
      </c>
      <c r="I31" s="14" t="s">
        <v>36</v>
      </c>
      <c r="J31" s="12" t="s">
        <v>34</v>
      </c>
      <c r="K31" s="12" t="s">
        <v>34</v>
      </c>
      <c r="L31" s="15" t="s">
        <v>37</v>
      </c>
      <c r="M31" s="15" t="s">
        <v>37</v>
      </c>
      <c r="N31" s="14"/>
      <c r="O31" s="14" t="s">
        <v>38</v>
      </c>
      <c r="P31" s="12" t="s">
        <v>34</v>
      </c>
      <c r="Q31" s="16" t="s">
        <v>39</v>
      </c>
      <c r="R31" s="14" t="s">
        <v>40</v>
      </c>
      <c r="S31" s="12">
        <v>0</v>
      </c>
      <c r="T31" s="14" t="s">
        <v>41</v>
      </c>
      <c r="U31" s="14" t="s">
        <v>41</v>
      </c>
      <c r="V31" s="17"/>
    </row>
    <row r="32" spans="1:22" ht="34.200000000000003" x14ac:dyDescent="0.3">
      <c r="A32" s="12">
        <v>26</v>
      </c>
      <c r="B32" s="13" t="s">
        <v>108</v>
      </c>
      <c r="C32" s="12" t="s">
        <v>32</v>
      </c>
      <c r="D32" s="12" t="s">
        <v>109</v>
      </c>
      <c r="E32" s="14" t="s">
        <v>34</v>
      </c>
      <c r="F32" s="14" t="s">
        <v>34</v>
      </c>
      <c r="G32" s="14" t="s">
        <v>35</v>
      </c>
      <c r="H32" s="14" t="s">
        <v>35</v>
      </c>
      <c r="I32" s="14" t="s">
        <v>36</v>
      </c>
      <c r="J32" s="12" t="s">
        <v>34</v>
      </c>
      <c r="K32" s="12" t="s">
        <v>34</v>
      </c>
      <c r="L32" s="15" t="s">
        <v>37</v>
      </c>
      <c r="M32" s="15" t="s">
        <v>37</v>
      </c>
      <c r="N32" s="14"/>
      <c r="O32" s="14" t="s">
        <v>38</v>
      </c>
      <c r="P32" s="12" t="s">
        <v>34</v>
      </c>
      <c r="Q32" s="16" t="s">
        <v>39</v>
      </c>
      <c r="R32" s="14" t="s">
        <v>40</v>
      </c>
      <c r="S32" s="12">
        <v>0</v>
      </c>
      <c r="T32" s="14" t="s">
        <v>41</v>
      </c>
      <c r="U32" s="14" t="s">
        <v>41</v>
      </c>
      <c r="V32" s="17"/>
    </row>
    <row r="33" spans="1:22" ht="34.200000000000003" x14ac:dyDescent="0.3">
      <c r="A33" s="12">
        <v>27</v>
      </c>
      <c r="B33" s="13" t="s">
        <v>110</v>
      </c>
      <c r="C33" s="12" t="s">
        <v>32</v>
      </c>
      <c r="D33" s="12" t="s">
        <v>111</v>
      </c>
      <c r="E33" s="14" t="s">
        <v>34</v>
      </c>
      <c r="F33" s="14" t="s">
        <v>34</v>
      </c>
      <c r="G33" s="14" t="s">
        <v>35</v>
      </c>
      <c r="H33" s="14" t="s">
        <v>35</v>
      </c>
      <c r="I33" s="14" t="s">
        <v>36</v>
      </c>
      <c r="J33" s="12" t="s">
        <v>34</v>
      </c>
      <c r="K33" s="12" t="s">
        <v>34</v>
      </c>
      <c r="L33" s="15" t="s">
        <v>37</v>
      </c>
      <c r="M33" s="15" t="s">
        <v>37</v>
      </c>
      <c r="N33" s="14"/>
      <c r="O33" s="14" t="s">
        <v>38</v>
      </c>
      <c r="P33" s="12" t="s">
        <v>34</v>
      </c>
      <c r="Q33" s="16" t="s">
        <v>39</v>
      </c>
      <c r="R33" s="14" t="s">
        <v>40</v>
      </c>
      <c r="S33" s="12">
        <v>0</v>
      </c>
      <c r="T33" s="14" t="s">
        <v>41</v>
      </c>
      <c r="U33" s="14" t="s">
        <v>41</v>
      </c>
      <c r="V33" s="17"/>
    </row>
    <row r="34" spans="1:22" ht="34.200000000000003" x14ac:dyDescent="0.3">
      <c r="A34" s="12">
        <v>28</v>
      </c>
      <c r="B34" s="13" t="s">
        <v>112</v>
      </c>
      <c r="C34" s="12" t="s">
        <v>32</v>
      </c>
      <c r="D34" s="12" t="s">
        <v>113</v>
      </c>
      <c r="E34" s="14" t="s">
        <v>34</v>
      </c>
      <c r="F34" s="14" t="s">
        <v>34</v>
      </c>
      <c r="G34" s="14" t="s">
        <v>35</v>
      </c>
      <c r="H34" s="14" t="s">
        <v>35</v>
      </c>
      <c r="I34" s="14" t="s">
        <v>36</v>
      </c>
      <c r="J34" s="12" t="s">
        <v>34</v>
      </c>
      <c r="K34" s="12" t="s">
        <v>34</v>
      </c>
      <c r="L34" s="15" t="s">
        <v>37</v>
      </c>
      <c r="M34" s="15" t="s">
        <v>37</v>
      </c>
      <c r="N34" s="14"/>
      <c r="O34" s="14" t="s">
        <v>38</v>
      </c>
      <c r="P34" s="12" t="s">
        <v>34</v>
      </c>
      <c r="Q34" s="16" t="s">
        <v>39</v>
      </c>
      <c r="R34" s="14" t="s">
        <v>40</v>
      </c>
      <c r="S34" s="12">
        <v>0</v>
      </c>
      <c r="T34" s="14" t="s">
        <v>41</v>
      </c>
      <c r="U34" s="14" t="s">
        <v>41</v>
      </c>
      <c r="V34" s="17"/>
    </row>
    <row r="35" spans="1:22" ht="34.200000000000003" x14ac:dyDescent="0.3">
      <c r="A35" s="12">
        <v>29</v>
      </c>
      <c r="B35" s="13" t="s">
        <v>114</v>
      </c>
      <c r="C35" s="12" t="s">
        <v>32</v>
      </c>
      <c r="D35" s="12" t="s">
        <v>115</v>
      </c>
      <c r="E35" s="14" t="s">
        <v>34</v>
      </c>
      <c r="F35" s="14" t="s">
        <v>34</v>
      </c>
      <c r="G35" s="14" t="s">
        <v>35</v>
      </c>
      <c r="H35" s="14" t="s">
        <v>35</v>
      </c>
      <c r="I35" s="14" t="s">
        <v>36</v>
      </c>
      <c r="J35" s="12" t="s">
        <v>34</v>
      </c>
      <c r="K35" s="12" t="s">
        <v>34</v>
      </c>
      <c r="L35" s="15" t="s">
        <v>37</v>
      </c>
      <c r="M35" s="15" t="s">
        <v>37</v>
      </c>
      <c r="N35" s="14"/>
      <c r="O35" s="14" t="s">
        <v>38</v>
      </c>
      <c r="P35" s="12" t="s">
        <v>34</v>
      </c>
      <c r="Q35" s="16" t="s">
        <v>39</v>
      </c>
      <c r="R35" s="14" t="s">
        <v>40</v>
      </c>
      <c r="S35" s="12">
        <v>0</v>
      </c>
      <c r="T35" s="14" t="s">
        <v>41</v>
      </c>
      <c r="U35" s="14" t="s">
        <v>41</v>
      </c>
      <c r="V35" s="17"/>
    </row>
    <row r="36" spans="1:22" ht="34.200000000000003" x14ac:dyDescent="0.3">
      <c r="A36" s="12">
        <v>30</v>
      </c>
      <c r="B36" s="13" t="s">
        <v>116</v>
      </c>
      <c r="C36" s="12" t="s">
        <v>32</v>
      </c>
      <c r="D36" s="12" t="s">
        <v>117</v>
      </c>
      <c r="E36" s="14" t="s">
        <v>34</v>
      </c>
      <c r="F36" s="14" t="s">
        <v>34</v>
      </c>
      <c r="G36" s="14" t="s">
        <v>35</v>
      </c>
      <c r="H36" s="14" t="s">
        <v>35</v>
      </c>
      <c r="I36" s="14" t="s">
        <v>36</v>
      </c>
      <c r="J36" s="12" t="s">
        <v>34</v>
      </c>
      <c r="K36" s="12" t="s">
        <v>34</v>
      </c>
      <c r="L36" s="15" t="s">
        <v>37</v>
      </c>
      <c r="M36" s="15" t="s">
        <v>37</v>
      </c>
      <c r="N36" s="14"/>
      <c r="O36" s="14" t="s">
        <v>38</v>
      </c>
      <c r="P36" s="12" t="s">
        <v>34</v>
      </c>
      <c r="Q36" s="16" t="s">
        <v>39</v>
      </c>
      <c r="R36" s="14" t="s">
        <v>40</v>
      </c>
      <c r="S36" s="12">
        <v>0</v>
      </c>
      <c r="T36" s="14" t="s">
        <v>41</v>
      </c>
      <c r="U36" s="14" t="s">
        <v>41</v>
      </c>
      <c r="V36" s="17"/>
    </row>
    <row r="37" spans="1:22" ht="34.200000000000003" x14ac:dyDescent="0.3">
      <c r="A37" s="12">
        <v>31</v>
      </c>
      <c r="B37" s="13" t="s">
        <v>118</v>
      </c>
      <c r="C37" s="12" t="s">
        <v>32</v>
      </c>
      <c r="D37" s="12" t="s">
        <v>117</v>
      </c>
      <c r="E37" s="14" t="s">
        <v>34</v>
      </c>
      <c r="F37" s="14" t="s">
        <v>34</v>
      </c>
      <c r="G37" s="14" t="s">
        <v>35</v>
      </c>
      <c r="H37" s="14" t="s">
        <v>35</v>
      </c>
      <c r="I37" s="14" t="s">
        <v>36</v>
      </c>
      <c r="J37" s="12" t="s">
        <v>34</v>
      </c>
      <c r="K37" s="12" t="s">
        <v>34</v>
      </c>
      <c r="L37" s="15" t="s">
        <v>37</v>
      </c>
      <c r="M37" s="15" t="s">
        <v>37</v>
      </c>
      <c r="N37" s="14"/>
      <c r="O37" s="14" t="s">
        <v>38</v>
      </c>
      <c r="P37" s="12" t="s">
        <v>34</v>
      </c>
      <c r="Q37" s="16" t="s">
        <v>39</v>
      </c>
      <c r="R37" s="14" t="s">
        <v>40</v>
      </c>
      <c r="S37" s="12">
        <v>0</v>
      </c>
      <c r="T37" s="14" t="s">
        <v>41</v>
      </c>
      <c r="U37" s="14" t="s">
        <v>41</v>
      </c>
      <c r="V37" s="17"/>
    </row>
    <row r="38" spans="1:22" ht="34.200000000000003" x14ac:dyDescent="0.3">
      <c r="A38" s="12">
        <v>32</v>
      </c>
      <c r="B38" s="13" t="s">
        <v>119</v>
      </c>
      <c r="C38" s="12" t="s">
        <v>32</v>
      </c>
      <c r="D38" s="12" t="s">
        <v>120</v>
      </c>
      <c r="E38" s="14" t="s">
        <v>34</v>
      </c>
      <c r="F38" s="14" t="s">
        <v>34</v>
      </c>
      <c r="G38" s="14" t="s">
        <v>35</v>
      </c>
      <c r="H38" s="14" t="s">
        <v>35</v>
      </c>
      <c r="I38" s="14" t="s">
        <v>36</v>
      </c>
      <c r="J38" s="12" t="s">
        <v>34</v>
      </c>
      <c r="K38" s="12" t="s">
        <v>34</v>
      </c>
      <c r="L38" s="15" t="s">
        <v>37</v>
      </c>
      <c r="M38" s="15" t="s">
        <v>37</v>
      </c>
      <c r="N38" s="14"/>
      <c r="O38" s="14" t="s">
        <v>38</v>
      </c>
      <c r="P38" s="12" t="s">
        <v>34</v>
      </c>
      <c r="Q38" s="16" t="s">
        <v>39</v>
      </c>
      <c r="R38" s="14" t="s">
        <v>40</v>
      </c>
      <c r="S38" s="12">
        <v>0</v>
      </c>
      <c r="T38" s="14" t="s">
        <v>41</v>
      </c>
      <c r="U38" s="14" t="s">
        <v>41</v>
      </c>
      <c r="V38" s="17"/>
    </row>
    <row r="39" spans="1:22" ht="34.200000000000003" x14ac:dyDescent="0.3">
      <c r="A39" s="12">
        <v>33</v>
      </c>
      <c r="B39" s="13" t="s">
        <v>121</v>
      </c>
      <c r="C39" s="12" t="s">
        <v>32</v>
      </c>
      <c r="D39" s="12" t="s">
        <v>122</v>
      </c>
      <c r="E39" s="14" t="s">
        <v>34</v>
      </c>
      <c r="F39" s="14" t="s">
        <v>34</v>
      </c>
      <c r="G39" s="14" t="s">
        <v>35</v>
      </c>
      <c r="H39" s="14" t="s">
        <v>35</v>
      </c>
      <c r="I39" s="14" t="s">
        <v>36</v>
      </c>
      <c r="J39" s="12" t="s">
        <v>34</v>
      </c>
      <c r="K39" s="12" t="s">
        <v>34</v>
      </c>
      <c r="L39" s="15" t="s">
        <v>37</v>
      </c>
      <c r="M39" s="15" t="s">
        <v>37</v>
      </c>
      <c r="N39" s="14"/>
      <c r="O39" s="14" t="s">
        <v>38</v>
      </c>
      <c r="P39" s="12" t="s">
        <v>34</v>
      </c>
      <c r="Q39" s="16" t="s">
        <v>39</v>
      </c>
      <c r="R39" s="14" t="s">
        <v>40</v>
      </c>
      <c r="S39" s="12">
        <v>0</v>
      </c>
      <c r="T39" s="14" t="s">
        <v>41</v>
      </c>
      <c r="U39" s="14" t="s">
        <v>41</v>
      </c>
      <c r="V39" s="17"/>
    </row>
    <row r="40" spans="1:22" ht="34.200000000000003" x14ac:dyDescent="0.3">
      <c r="A40" s="12">
        <v>34</v>
      </c>
      <c r="B40" s="13" t="s">
        <v>123</v>
      </c>
      <c r="C40" s="12" t="s">
        <v>32</v>
      </c>
      <c r="D40" s="12" t="s">
        <v>124</v>
      </c>
      <c r="E40" s="14" t="s">
        <v>34</v>
      </c>
      <c r="F40" s="14" t="s">
        <v>34</v>
      </c>
      <c r="G40" s="14" t="s">
        <v>35</v>
      </c>
      <c r="H40" s="14" t="s">
        <v>35</v>
      </c>
      <c r="I40" s="14" t="s">
        <v>36</v>
      </c>
      <c r="J40" s="12" t="s">
        <v>34</v>
      </c>
      <c r="K40" s="12" t="s">
        <v>34</v>
      </c>
      <c r="L40" s="15" t="s">
        <v>37</v>
      </c>
      <c r="M40" s="15" t="s">
        <v>37</v>
      </c>
      <c r="N40" s="14"/>
      <c r="O40" s="14" t="s">
        <v>38</v>
      </c>
      <c r="P40" s="12" t="s">
        <v>34</v>
      </c>
      <c r="Q40" s="16" t="s">
        <v>39</v>
      </c>
      <c r="R40" s="14" t="s">
        <v>40</v>
      </c>
      <c r="S40" s="12">
        <v>0</v>
      </c>
      <c r="T40" s="14" t="s">
        <v>41</v>
      </c>
      <c r="U40" s="14" t="s">
        <v>41</v>
      </c>
      <c r="V40" s="17"/>
    </row>
    <row r="41" spans="1:22" ht="34.200000000000003" x14ac:dyDescent="0.3">
      <c r="A41" s="12">
        <v>35</v>
      </c>
      <c r="B41" s="13" t="s">
        <v>125</v>
      </c>
      <c r="C41" s="12" t="s">
        <v>32</v>
      </c>
      <c r="D41" s="12" t="s">
        <v>126</v>
      </c>
      <c r="E41" s="14" t="s">
        <v>34</v>
      </c>
      <c r="F41" s="14" t="s">
        <v>34</v>
      </c>
      <c r="G41" s="14" t="s">
        <v>35</v>
      </c>
      <c r="H41" s="14" t="s">
        <v>35</v>
      </c>
      <c r="I41" s="14" t="s">
        <v>36</v>
      </c>
      <c r="J41" s="12" t="s">
        <v>34</v>
      </c>
      <c r="K41" s="12" t="s">
        <v>34</v>
      </c>
      <c r="L41" s="15" t="s">
        <v>37</v>
      </c>
      <c r="M41" s="15" t="s">
        <v>37</v>
      </c>
      <c r="N41" s="14"/>
      <c r="O41" s="14" t="s">
        <v>38</v>
      </c>
      <c r="P41" s="12" t="s">
        <v>34</v>
      </c>
      <c r="Q41" s="16" t="s">
        <v>39</v>
      </c>
      <c r="R41" s="14" t="s">
        <v>40</v>
      </c>
      <c r="S41" s="12">
        <v>0</v>
      </c>
      <c r="T41" s="14" t="s">
        <v>41</v>
      </c>
      <c r="U41" s="14" t="s">
        <v>41</v>
      </c>
      <c r="V41" s="17"/>
    </row>
    <row r="42" spans="1:22" ht="34.200000000000003" x14ac:dyDescent="0.3">
      <c r="A42" s="12">
        <v>36</v>
      </c>
      <c r="B42" s="13" t="s">
        <v>127</v>
      </c>
      <c r="C42" s="12" t="s">
        <v>32</v>
      </c>
      <c r="D42" s="12" t="s">
        <v>128</v>
      </c>
      <c r="E42" s="14" t="s">
        <v>34</v>
      </c>
      <c r="F42" s="14" t="s">
        <v>34</v>
      </c>
      <c r="G42" s="14" t="s">
        <v>35</v>
      </c>
      <c r="H42" s="14" t="s">
        <v>35</v>
      </c>
      <c r="I42" s="14" t="s">
        <v>36</v>
      </c>
      <c r="J42" s="12" t="s">
        <v>34</v>
      </c>
      <c r="K42" s="12" t="s">
        <v>34</v>
      </c>
      <c r="L42" s="15" t="s">
        <v>37</v>
      </c>
      <c r="M42" s="15" t="s">
        <v>37</v>
      </c>
      <c r="N42" s="14"/>
      <c r="O42" s="14" t="s">
        <v>38</v>
      </c>
      <c r="P42" s="12" t="s">
        <v>34</v>
      </c>
      <c r="Q42" s="16" t="s">
        <v>39</v>
      </c>
      <c r="R42" s="14" t="s">
        <v>40</v>
      </c>
      <c r="S42" s="12">
        <v>0</v>
      </c>
      <c r="T42" s="14" t="s">
        <v>41</v>
      </c>
      <c r="U42" s="14" t="s">
        <v>41</v>
      </c>
      <c r="V42" s="17"/>
    </row>
    <row r="44" spans="1:22" x14ac:dyDescent="0.3">
      <c r="A44" s="10" t="s">
        <v>129</v>
      </c>
      <c r="B44" s="11"/>
      <c r="C44" s="11"/>
      <c r="D44" s="11"/>
      <c r="E44" s="11"/>
      <c r="F44" s="11"/>
      <c r="G44" s="11"/>
      <c r="H44" s="11"/>
      <c r="I44" s="11"/>
      <c r="J44" s="11"/>
      <c r="K44" s="11"/>
      <c r="L44" s="11"/>
      <c r="M44" s="11"/>
      <c r="N44" s="11"/>
      <c r="O44" s="11"/>
      <c r="P44" s="11"/>
      <c r="Q44" s="11"/>
      <c r="R44" s="11"/>
      <c r="S44" s="11"/>
      <c r="T44" s="11"/>
      <c r="U44" s="11"/>
      <c r="V44" s="11"/>
    </row>
    <row r="45" spans="1:22" ht="34.200000000000003" x14ac:dyDescent="0.3">
      <c r="A45" s="12">
        <v>37</v>
      </c>
      <c r="B45" s="13" t="s">
        <v>130</v>
      </c>
      <c r="C45" s="12" t="s">
        <v>131</v>
      </c>
      <c r="D45" s="12" t="s">
        <v>128</v>
      </c>
      <c r="E45" s="14" t="s">
        <v>132</v>
      </c>
      <c r="F45" s="14" t="s">
        <v>133</v>
      </c>
      <c r="G45" s="14" t="s">
        <v>57</v>
      </c>
      <c r="H45" s="14" t="s">
        <v>57</v>
      </c>
      <c r="I45" s="14" t="s">
        <v>98</v>
      </c>
      <c r="J45" s="12" t="s">
        <v>134</v>
      </c>
      <c r="K45" s="12" t="s">
        <v>60</v>
      </c>
      <c r="L45" s="15" t="s">
        <v>37</v>
      </c>
      <c r="M45" s="15" t="s">
        <v>37</v>
      </c>
      <c r="N45" s="14"/>
      <c r="O45" s="14" t="s">
        <v>135</v>
      </c>
      <c r="P45" s="12">
        <v>9</v>
      </c>
      <c r="Q45" s="21" t="s">
        <v>136</v>
      </c>
      <c r="R45" s="14" t="s">
        <v>137</v>
      </c>
      <c r="S45" s="12">
        <v>51</v>
      </c>
      <c r="T45" s="14" t="s">
        <v>138</v>
      </c>
      <c r="U45" s="14" t="s">
        <v>139</v>
      </c>
      <c r="V45" s="17" t="s">
        <v>140</v>
      </c>
    </row>
    <row r="47" spans="1:22" x14ac:dyDescent="0.3">
      <c r="A47" s="10" t="s">
        <v>141</v>
      </c>
      <c r="B47" s="11"/>
      <c r="C47" s="11"/>
      <c r="D47" s="11"/>
      <c r="E47" s="11"/>
      <c r="F47" s="11"/>
      <c r="G47" s="11"/>
      <c r="H47" s="11"/>
      <c r="I47" s="11"/>
      <c r="J47" s="11"/>
      <c r="K47" s="11"/>
      <c r="L47" s="11"/>
      <c r="M47" s="11"/>
      <c r="N47" s="11"/>
      <c r="O47" s="11"/>
      <c r="P47" s="11"/>
      <c r="Q47" s="11"/>
      <c r="R47" s="11"/>
      <c r="S47" s="11"/>
      <c r="T47" s="11"/>
      <c r="U47" s="11"/>
      <c r="V47" s="11"/>
    </row>
    <row r="48" spans="1:22" x14ac:dyDescent="0.3">
      <c r="A48" s="12">
        <v>38</v>
      </c>
      <c r="B48" s="13" t="s">
        <v>142</v>
      </c>
      <c r="C48" s="12" t="s">
        <v>143</v>
      </c>
      <c r="D48" s="12" t="s">
        <v>33</v>
      </c>
      <c r="E48" s="14" t="s">
        <v>144</v>
      </c>
      <c r="F48" s="14" t="s">
        <v>145</v>
      </c>
      <c r="G48" s="14" t="s">
        <v>57</v>
      </c>
      <c r="H48" s="14" t="s">
        <v>57</v>
      </c>
      <c r="I48" s="14" t="s">
        <v>98</v>
      </c>
      <c r="J48" s="12" t="s">
        <v>99</v>
      </c>
      <c r="K48" s="12" t="s">
        <v>60</v>
      </c>
      <c r="L48" s="22" t="s">
        <v>146</v>
      </c>
      <c r="M48" s="18" t="s">
        <v>60</v>
      </c>
      <c r="N48" s="14"/>
      <c r="O48" s="14" t="s">
        <v>89</v>
      </c>
      <c r="P48" s="12">
        <v>1</v>
      </c>
      <c r="Q48" s="19" t="s">
        <v>62</v>
      </c>
      <c r="R48" s="14" t="s">
        <v>147</v>
      </c>
      <c r="S48" s="12">
        <v>13</v>
      </c>
      <c r="T48" s="14" t="s">
        <v>138</v>
      </c>
      <c r="U48" s="14" t="s">
        <v>138</v>
      </c>
      <c r="V48" s="17" t="s">
        <v>148</v>
      </c>
    </row>
    <row r="49" spans="1:22" ht="45.6" x14ac:dyDescent="0.3">
      <c r="A49" s="12">
        <v>39</v>
      </c>
      <c r="B49" s="13" t="s">
        <v>149</v>
      </c>
      <c r="C49" s="12" t="s">
        <v>143</v>
      </c>
      <c r="D49" s="12" t="s">
        <v>33</v>
      </c>
      <c r="E49" s="14" t="s">
        <v>150</v>
      </c>
      <c r="F49" s="14" t="s">
        <v>151</v>
      </c>
      <c r="G49" s="14" t="s">
        <v>57</v>
      </c>
      <c r="H49" s="14" t="s">
        <v>152</v>
      </c>
      <c r="I49" s="14" t="s">
        <v>98</v>
      </c>
      <c r="J49" s="12" t="s">
        <v>134</v>
      </c>
      <c r="K49" s="12" t="s">
        <v>60</v>
      </c>
      <c r="L49" s="15" t="s">
        <v>37</v>
      </c>
      <c r="M49" s="15" t="s">
        <v>37</v>
      </c>
      <c r="N49" s="14"/>
      <c r="O49" s="14" t="s">
        <v>153</v>
      </c>
      <c r="P49" s="12">
        <v>6</v>
      </c>
      <c r="Q49" s="21" t="s">
        <v>136</v>
      </c>
      <c r="R49" s="14" t="s">
        <v>154</v>
      </c>
      <c r="S49" s="12">
        <v>22</v>
      </c>
      <c r="T49" s="14" t="s">
        <v>64</v>
      </c>
      <c r="U49" s="14" t="s">
        <v>102</v>
      </c>
      <c r="V49" s="17" t="s">
        <v>155</v>
      </c>
    </row>
    <row r="50" spans="1:22" ht="45.6" x14ac:dyDescent="0.3">
      <c r="A50" s="12">
        <v>40</v>
      </c>
      <c r="B50" s="13" t="s">
        <v>156</v>
      </c>
      <c r="C50" s="12" t="s">
        <v>143</v>
      </c>
      <c r="D50" s="12" t="s">
        <v>33</v>
      </c>
      <c r="E50" s="14" t="s">
        <v>157</v>
      </c>
      <c r="F50" s="14" t="s">
        <v>158</v>
      </c>
      <c r="G50" s="14" t="s">
        <v>97</v>
      </c>
      <c r="H50" s="14" t="s">
        <v>57</v>
      </c>
      <c r="I50" s="14" t="s">
        <v>98</v>
      </c>
      <c r="J50" s="12" t="s">
        <v>159</v>
      </c>
      <c r="K50" s="12" t="s">
        <v>60</v>
      </c>
      <c r="L50" s="18" t="s">
        <v>60</v>
      </c>
      <c r="M50" s="18" t="s">
        <v>60</v>
      </c>
      <c r="N50" s="14"/>
      <c r="O50" s="14" t="s">
        <v>135</v>
      </c>
      <c r="P50" s="12">
        <v>9</v>
      </c>
      <c r="Q50" s="21" t="s">
        <v>136</v>
      </c>
      <c r="R50" s="14" t="s">
        <v>40</v>
      </c>
      <c r="S50" s="12">
        <v>51</v>
      </c>
      <c r="T50" s="14" t="s">
        <v>64</v>
      </c>
      <c r="U50" s="14" t="s">
        <v>160</v>
      </c>
      <c r="V50" s="17" t="s">
        <v>161</v>
      </c>
    </row>
    <row r="51" spans="1:22" ht="22.8" x14ac:dyDescent="0.3">
      <c r="A51" s="12">
        <v>41</v>
      </c>
      <c r="B51" s="13" t="s">
        <v>162</v>
      </c>
      <c r="C51" s="12" t="s">
        <v>143</v>
      </c>
      <c r="D51" s="12" t="s">
        <v>33</v>
      </c>
      <c r="E51" s="14" t="s">
        <v>163</v>
      </c>
      <c r="F51" s="14" t="s">
        <v>164</v>
      </c>
      <c r="G51" s="14" t="s">
        <v>97</v>
      </c>
      <c r="H51" s="14" t="s">
        <v>165</v>
      </c>
      <c r="I51" s="14" t="s">
        <v>87</v>
      </c>
      <c r="J51" s="12" t="s">
        <v>166</v>
      </c>
      <c r="K51" s="12" t="s">
        <v>60</v>
      </c>
      <c r="L51" s="15" t="s">
        <v>37</v>
      </c>
      <c r="M51" s="15" t="s">
        <v>37</v>
      </c>
      <c r="N51" s="14"/>
      <c r="O51" s="14" t="s">
        <v>61</v>
      </c>
      <c r="P51" s="12">
        <v>3</v>
      </c>
      <c r="Q51" s="19" t="s">
        <v>62</v>
      </c>
      <c r="R51" s="14" t="s">
        <v>40</v>
      </c>
      <c r="S51" s="12">
        <v>37</v>
      </c>
      <c r="T51" s="14" t="s">
        <v>167</v>
      </c>
      <c r="U51" s="14" t="s">
        <v>168</v>
      </c>
      <c r="V51" s="17" t="s">
        <v>169</v>
      </c>
    </row>
    <row r="52" spans="1:22" ht="22.8" x14ac:dyDescent="0.3">
      <c r="A52" s="12">
        <v>42</v>
      </c>
      <c r="B52" s="13" t="s">
        <v>170</v>
      </c>
      <c r="C52" s="12" t="s">
        <v>143</v>
      </c>
      <c r="D52" s="12" t="s">
        <v>49</v>
      </c>
      <c r="E52" s="14" t="s">
        <v>171</v>
      </c>
      <c r="F52" s="14" t="s">
        <v>172</v>
      </c>
      <c r="G52" s="14" t="s">
        <v>97</v>
      </c>
      <c r="H52" s="14" t="s">
        <v>57</v>
      </c>
      <c r="I52" s="14" t="s">
        <v>98</v>
      </c>
      <c r="J52" s="12" t="s">
        <v>99</v>
      </c>
      <c r="K52" s="12" t="s">
        <v>60</v>
      </c>
      <c r="L52" s="18" t="s">
        <v>60</v>
      </c>
      <c r="M52" s="18" t="s">
        <v>60</v>
      </c>
      <c r="N52" s="14"/>
      <c r="O52" s="14" t="s">
        <v>135</v>
      </c>
      <c r="P52" s="12">
        <v>9</v>
      </c>
      <c r="Q52" s="21" t="s">
        <v>136</v>
      </c>
      <c r="R52" s="14" t="s">
        <v>173</v>
      </c>
      <c r="S52" s="12">
        <v>51</v>
      </c>
      <c r="T52" s="14" t="s">
        <v>174</v>
      </c>
      <c r="U52" s="14" t="s">
        <v>175</v>
      </c>
      <c r="V52" s="17" t="s">
        <v>176</v>
      </c>
    </row>
    <row r="53" spans="1:22" x14ac:dyDescent="0.3">
      <c r="A53" s="12">
        <v>43</v>
      </c>
      <c r="B53" s="13" t="s">
        <v>177</v>
      </c>
      <c r="C53" s="12" t="s">
        <v>143</v>
      </c>
      <c r="D53" s="12" t="s">
        <v>51</v>
      </c>
      <c r="E53" s="14" t="s">
        <v>178</v>
      </c>
      <c r="F53" s="14" t="s">
        <v>179</v>
      </c>
      <c r="G53" s="14" t="s">
        <v>57</v>
      </c>
      <c r="H53" s="14" t="s">
        <v>57</v>
      </c>
      <c r="I53" s="14" t="s">
        <v>98</v>
      </c>
      <c r="J53" s="12" t="s">
        <v>99</v>
      </c>
      <c r="K53" s="12" t="s">
        <v>60</v>
      </c>
      <c r="L53" s="18" t="s">
        <v>60</v>
      </c>
      <c r="M53" s="18" t="s">
        <v>60</v>
      </c>
      <c r="N53" s="14"/>
      <c r="O53" s="14" t="s">
        <v>180</v>
      </c>
      <c r="P53" s="12">
        <v>12</v>
      </c>
      <c r="Q53" s="20" t="s">
        <v>101</v>
      </c>
      <c r="R53" s="14" t="s">
        <v>40</v>
      </c>
      <c r="S53" s="12">
        <v>0</v>
      </c>
      <c r="T53" s="14" t="s">
        <v>181</v>
      </c>
      <c r="U53" s="14" t="s">
        <v>181</v>
      </c>
      <c r="V53" s="17" t="s">
        <v>182</v>
      </c>
    </row>
    <row r="54" spans="1:22" ht="34.200000000000003" x14ac:dyDescent="0.3">
      <c r="A54" s="12">
        <v>44</v>
      </c>
      <c r="B54" s="13" t="s">
        <v>183</v>
      </c>
      <c r="C54" s="12" t="s">
        <v>143</v>
      </c>
      <c r="D54" s="12" t="s">
        <v>51</v>
      </c>
      <c r="E54" s="14" t="s">
        <v>184</v>
      </c>
      <c r="F54" s="14" t="s">
        <v>185</v>
      </c>
      <c r="G54" s="14" t="s">
        <v>57</v>
      </c>
      <c r="H54" s="14" t="s">
        <v>86</v>
      </c>
      <c r="I54" s="14" t="s">
        <v>186</v>
      </c>
      <c r="J54" s="12" t="s">
        <v>187</v>
      </c>
      <c r="K54" s="12" t="s">
        <v>60</v>
      </c>
      <c r="L54" s="18" t="s">
        <v>60</v>
      </c>
      <c r="M54" s="15" t="s">
        <v>37</v>
      </c>
      <c r="N54" s="14"/>
      <c r="O54" s="14" t="s">
        <v>89</v>
      </c>
      <c r="P54" s="12">
        <v>1</v>
      </c>
      <c r="Q54" s="19" t="s">
        <v>62</v>
      </c>
      <c r="R54" s="14" t="s">
        <v>40</v>
      </c>
      <c r="S54" s="12">
        <v>13</v>
      </c>
      <c r="T54" s="14" t="s">
        <v>64</v>
      </c>
      <c r="U54" s="14" t="s">
        <v>188</v>
      </c>
      <c r="V54" s="17" t="s">
        <v>189</v>
      </c>
    </row>
    <row r="55" spans="1:22" ht="34.200000000000003" x14ac:dyDescent="0.3">
      <c r="A55" s="12">
        <v>45</v>
      </c>
      <c r="B55" s="13" t="s">
        <v>190</v>
      </c>
      <c r="C55" s="12" t="s">
        <v>143</v>
      </c>
      <c r="D55" s="12" t="s">
        <v>51</v>
      </c>
      <c r="E55" s="14" t="s">
        <v>191</v>
      </c>
      <c r="F55" s="14" t="s">
        <v>192</v>
      </c>
      <c r="G55" s="14" t="s">
        <v>57</v>
      </c>
      <c r="H55" s="14" t="s">
        <v>86</v>
      </c>
      <c r="I55" s="14" t="s">
        <v>186</v>
      </c>
      <c r="J55" s="12" t="s">
        <v>187</v>
      </c>
      <c r="K55" s="12" t="s">
        <v>60</v>
      </c>
      <c r="L55" s="15" t="s">
        <v>37</v>
      </c>
      <c r="M55" s="15" t="s">
        <v>37</v>
      </c>
      <c r="N55" s="14"/>
      <c r="O55" s="14" t="s">
        <v>193</v>
      </c>
      <c r="P55" s="12">
        <v>12</v>
      </c>
      <c r="Q55" s="20" t="s">
        <v>101</v>
      </c>
      <c r="R55" s="14" t="s">
        <v>40</v>
      </c>
      <c r="S55" s="12">
        <v>6</v>
      </c>
      <c r="T55" s="14" t="s">
        <v>91</v>
      </c>
      <c r="U55" s="14" t="s">
        <v>194</v>
      </c>
      <c r="V55" s="17" t="s">
        <v>195</v>
      </c>
    </row>
    <row r="56" spans="1:22" ht="34.200000000000003" x14ac:dyDescent="0.3">
      <c r="A56" s="12">
        <v>46</v>
      </c>
      <c r="B56" s="13" t="s">
        <v>196</v>
      </c>
      <c r="C56" s="12" t="s">
        <v>143</v>
      </c>
      <c r="D56" s="12" t="s">
        <v>68</v>
      </c>
      <c r="E56" s="14" t="s">
        <v>197</v>
      </c>
      <c r="F56" s="14" t="s">
        <v>198</v>
      </c>
      <c r="G56" s="14" t="s">
        <v>57</v>
      </c>
      <c r="H56" s="14" t="s">
        <v>86</v>
      </c>
      <c r="I56" s="14" t="s">
        <v>186</v>
      </c>
      <c r="J56" s="12" t="s">
        <v>187</v>
      </c>
      <c r="K56" s="12" t="s">
        <v>60</v>
      </c>
      <c r="L56" s="15" t="s">
        <v>37</v>
      </c>
      <c r="M56" s="15" t="s">
        <v>37</v>
      </c>
      <c r="N56" s="14"/>
      <c r="O56" s="14" t="s">
        <v>199</v>
      </c>
      <c r="P56" s="12">
        <v>6</v>
      </c>
      <c r="Q56" s="21" t="s">
        <v>136</v>
      </c>
      <c r="R56" s="14" t="s">
        <v>40</v>
      </c>
      <c r="S56" s="12">
        <v>14</v>
      </c>
      <c r="T56" s="14" t="s">
        <v>200</v>
      </c>
      <c r="U56" s="14" t="s">
        <v>201</v>
      </c>
      <c r="V56" s="17" t="s">
        <v>202</v>
      </c>
    </row>
    <row r="57" spans="1:22" x14ac:dyDescent="0.3">
      <c r="A57" s="12">
        <v>47</v>
      </c>
      <c r="B57" s="13" t="s">
        <v>203</v>
      </c>
      <c r="C57" s="12" t="s">
        <v>143</v>
      </c>
      <c r="D57" s="12" t="s">
        <v>68</v>
      </c>
      <c r="E57" s="14" t="s">
        <v>204</v>
      </c>
      <c r="F57" s="14" t="s">
        <v>205</v>
      </c>
      <c r="G57" s="14" t="s">
        <v>57</v>
      </c>
      <c r="H57" s="14" t="s">
        <v>57</v>
      </c>
      <c r="I57" s="14" t="s">
        <v>87</v>
      </c>
      <c r="J57" s="12" t="s">
        <v>206</v>
      </c>
      <c r="K57" s="12" t="s">
        <v>60</v>
      </c>
      <c r="L57" s="18" t="s">
        <v>60</v>
      </c>
      <c r="M57" s="15" t="s">
        <v>37</v>
      </c>
      <c r="N57" s="14"/>
      <c r="O57" s="14" t="s">
        <v>61</v>
      </c>
      <c r="P57" s="12">
        <v>3</v>
      </c>
      <c r="Q57" s="19" t="s">
        <v>62</v>
      </c>
      <c r="R57" s="14" t="s">
        <v>40</v>
      </c>
      <c r="S57" s="12">
        <v>37</v>
      </c>
      <c r="T57" s="14" t="s">
        <v>207</v>
      </c>
      <c r="U57" s="14" t="s">
        <v>207</v>
      </c>
      <c r="V57" s="17" t="s">
        <v>208</v>
      </c>
    </row>
    <row r="58" spans="1:22" ht="34.200000000000003" x14ac:dyDescent="0.3">
      <c r="A58" s="12">
        <v>48</v>
      </c>
      <c r="B58" s="13" t="s">
        <v>209</v>
      </c>
      <c r="C58" s="12" t="s">
        <v>143</v>
      </c>
      <c r="D58" s="12" t="s">
        <v>70</v>
      </c>
      <c r="E58" s="14" t="s">
        <v>210</v>
      </c>
      <c r="F58" s="14" t="s">
        <v>211</v>
      </c>
      <c r="G58" s="14" t="s">
        <v>57</v>
      </c>
      <c r="H58" s="14" t="s">
        <v>86</v>
      </c>
      <c r="I58" s="14" t="s">
        <v>212</v>
      </c>
      <c r="J58" s="12" t="s">
        <v>213</v>
      </c>
      <c r="K58" s="12" t="s">
        <v>60</v>
      </c>
      <c r="L58" s="18" t="s">
        <v>60</v>
      </c>
      <c r="M58" s="18" t="s">
        <v>60</v>
      </c>
      <c r="N58" s="14"/>
      <c r="O58" s="14" t="s">
        <v>214</v>
      </c>
      <c r="P58" s="12">
        <v>12</v>
      </c>
      <c r="Q58" s="20" t="s">
        <v>101</v>
      </c>
      <c r="R58" s="14" t="s">
        <v>215</v>
      </c>
      <c r="S58" s="12">
        <v>3</v>
      </c>
      <c r="T58" s="14" t="s">
        <v>200</v>
      </c>
      <c r="U58" s="14" t="s">
        <v>216</v>
      </c>
      <c r="V58" s="17" t="s">
        <v>217</v>
      </c>
    </row>
    <row r="59" spans="1:22" ht="34.200000000000003" x14ac:dyDescent="0.3">
      <c r="A59" s="12">
        <v>49</v>
      </c>
      <c r="B59" s="13" t="s">
        <v>218</v>
      </c>
      <c r="C59" s="12" t="s">
        <v>143</v>
      </c>
      <c r="D59" s="12" t="s">
        <v>70</v>
      </c>
      <c r="E59" s="14" t="s">
        <v>219</v>
      </c>
      <c r="F59" s="14" t="s">
        <v>220</v>
      </c>
      <c r="G59" s="14" t="s">
        <v>97</v>
      </c>
      <c r="H59" s="14" t="s">
        <v>97</v>
      </c>
      <c r="I59" s="14" t="s">
        <v>98</v>
      </c>
      <c r="J59" s="12" t="s">
        <v>159</v>
      </c>
      <c r="K59" s="12" t="s">
        <v>60</v>
      </c>
      <c r="L59" s="15" t="s">
        <v>37</v>
      </c>
      <c r="M59" s="15" t="s">
        <v>37</v>
      </c>
      <c r="N59" s="14"/>
      <c r="O59" s="14" t="s">
        <v>61</v>
      </c>
      <c r="P59" s="12">
        <v>3</v>
      </c>
      <c r="Q59" s="19" t="s">
        <v>62</v>
      </c>
      <c r="R59" s="14" t="s">
        <v>40</v>
      </c>
      <c r="S59" s="12">
        <v>37</v>
      </c>
      <c r="T59" s="14" t="s">
        <v>91</v>
      </c>
      <c r="U59" s="14" t="s">
        <v>221</v>
      </c>
      <c r="V59" s="17" t="s">
        <v>222</v>
      </c>
    </row>
    <row r="60" spans="1:22" ht="34.200000000000003" x14ac:dyDescent="0.3">
      <c r="A60" s="12">
        <v>50</v>
      </c>
      <c r="B60" s="13" t="s">
        <v>223</v>
      </c>
      <c r="C60" s="12" t="s">
        <v>143</v>
      </c>
      <c r="D60" s="12" t="s">
        <v>224</v>
      </c>
      <c r="E60" s="14" t="s">
        <v>225</v>
      </c>
      <c r="F60" s="14" t="s">
        <v>226</v>
      </c>
      <c r="G60" s="14" t="s">
        <v>85</v>
      </c>
      <c r="H60" s="14" t="s">
        <v>86</v>
      </c>
      <c r="I60" s="14" t="s">
        <v>87</v>
      </c>
      <c r="J60" s="12" t="s">
        <v>88</v>
      </c>
      <c r="K60" s="12" t="s">
        <v>60</v>
      </c>
      <c r="L60" s="15" t="s">
        <v>37</v>
      </c>
      <c r="M60" s="15" t="s">
        <v>37</v>
      </c>
      <c r="N60" s="14"/>
      <c r="O60" s="14" t="s">
        <v>153</v>
      </c>
      <c r="P60" s="12">
        <v>6</v>
      </c>
      <c r="Q60" s="21" t="s">
        <v>136</v>
      </c>
      <c r="R60" s="14" t="s">
        <v>227</v>
      </c>
      <c r="S60" s="12">
        <v>22</v>
      </c>
      <c r="T60" s="14" t="s">
        <v>138</v>
      </c>
      <c r="U60" s="14" t="s">
        <v>228</v>
      </c>
      <c r="V60" s="17" t="s">
        <v>229</v>
      </c>
    </row>
    <row r="61" spans="1:22" ht="34.200000000000003" x14ac:dyDescent="0.3">
      <c r="A61" s="12">
        <v>51</v>
      </c>
      <c r="B61" s="13" t="s">
        <v>230</v>
      </c>
      <c r="C61" s="12" t="s">
        <v>143</v>
      </c>
      <c r="D61" s="12" t="s">
        <v>231</v>
      </c>
      <c r="E61" s="14" t="s">
        <v>232</v>
      </c>
      <c r="F61" s="14" t="s">
        <v>233</v>
      </c>
      <c r="G61" s="14" t="s">
        <v>57</v>
      </c>
      <c r="H61" s="14" t="s">
        <v>57</v>
      </c>
      <c r="I61" s="14" t="s">
        <v>87</v>
      </c>
      <c r="J61" s="12" t="s">
        <v>234</v>
      </c>
      <c r="K61" s="12" t="s">
        <v>60</v>
      </c>
      <c r="L61" s="18" t="s">
        <v>60</v>
      </c>
      <c r="M61" s="18" t="s">
        <v>60</v>
      </c>
      <c r="N61" s="14"/>
      <c r="O61" s="14" t="s">
        <v>199</v>
      </c>
      <c r="P61" s="12">
        <v>6</v>
      </c>
      <c r="Q61" s="21" t="s">
        <v>136</v>
      </c>
      <c r="R61" s="14" t="s">
        <v>40</v>
      </c>
      <c r="S61" s="12">
        <v>14</v>
      </c>
      <c r="T61" s="14" t="s">
        <v>138</v>
      </c>
      <c r="U61" s="14" t="s">
        <v>235</v>
      </c>
      <c r="V61" s="17" t="s">
        <v>236</v>
      </c>
    </row>
    <row r="62" spans="1:22" x14ac:dyDescent="0.3">
      <c r="A62" s="12">
        <v>52</v>
      </c>
      <c r="B62" s="13" t="s">
        <v>237</v>
      </c>
      <c r="C62" s="12" t="s">
        <v>143</v>
      </c>
      <c r="D62" s="12" t="s">
        <v>231</v>
      </c>
      <c r="E62" s="14" t="s">
        <v>238</v>
      </c>
      <c r="F62" s="14" t="s">
        <v>239</v>
      </c>
      <c r="G62" s="14" t="s">
        <v>165</v>
      </c>
      <c r="H62" s="14" t="s">
        <v>165</v>
      </c>
      <c r="I62" s="14" t="s">
        <v>98</v>
      </c>
      <c r="J62" s="12" t="s">
        <v>240</v>
      </c>
      <c r="K62" s="12" t="s">
        <v>60</v>
      </c>
      <c r="L62" s="15" t="s">
        <v>37</v>
      </c>
      <c r="M62" s="15" t="s">
        <v>37</v>
      </c>
      <c r="N62" s="14"/>
      <c r="O62" s="14" t="s">
        <v>38</v>
      </c>
      <c r="P62" s="12" t="s">
        <v>34</v>
      </c>
      <c r="Q62" s="16" t="s">
        <v>39</v>
      </c>
      <c r="R62" s="14" t="s">
        <v>40</v>
      </c>
      <c r="S62" s="12">
        <v>0</v>
      </c>
      <c r="T62" s="14" t="s">
        <v>174</v>
      </c>
      <c r="U62" s="14" t="s">
        <v>174</v>
      </c>
      <c r="V62" s="17" t="s">
        <v>241</v>
      </c>
    </row>
    <row r="63" spans="1:22" ht="45.6" x14ac:dyDescent="0.3">
      <c r="A63" s="12">
        <v>53</v>
      </c>
      <c r="B63" s="13" t="s">
        <v>242</v>
      </c>
      <c r="C63" s="12" t="s">
        <v>143</v>
      </c>
      <c r="D63" s="12" t="s">
        <v>231</v>
      </c>
      <c r="E63" s="14" t="s">
        <v>243</v>
      </c>
      <c r="F63" s="14" t="s">
        <v>244</v>
      </c>
      <c r="G63" s="14" t="s">
        <v>57</v>
      </c>
      <c r="H63" s="14" t="s">
        <v>57</v>
      </c>
      <c r="I63" s="14" t="s">
        <v>58</v>
      </c>
      <c r="J63" s="12" t="s">
        <v>59</v>
      </c>
      <c r="K63" s="12" t="s">
        <v>60</v>
      </c>
      <c r="L63" s="15" t="s">
        <v>37</v>
      </c>
      <c r="M63" s="15" t="s">
        <v>37</v>
      </c>
      <c r="N63" s="14"/>
      <c r="O63" s="14" t="s">
        <v>245</v>
      </c>
      <c r="P63" s="12">
        <v>10</v>
      </c>
      <c r="Q63" s="21" t="s">
        <v>136</v>
      </c>
      <c r="R63" s="14" t="s">
        <v>40</v>
      </c>
      <c r="S63" s="12">
        <v>2</v>
      </c>
      <c r="T63" s="14" t="s">
        <v>138</v>
      </c>
      <c r="U63" s="14" t="s">
        <v>246</v>
      </c>
      <c r="V63" s="17" t="s">
        <v>247</v>
      </c>
    </row>
    <row r="64" spans="1:22" ht="45.6" x14ac:dyDescent="0.3">
      <c r="A64" s="12">
        <v>54</v>
      </c>
      <c r="B64" s="13" t="s">
        <v>248</v>
      </c>
      <c r="C64" s="12" t="s">
        <v>143</v>
      </c>
      <c r="D64" s="12" t="s">
        <v>79</v>
      </c>
      <c r="E64" s="14" t="s">
        <v>249</v>
      </c>
      <c r="F64" s="14" t="s">
        <v>250</v>
      </c>
      <c r="G64" s="14" t="s">
        <v>97</v>
      </c>
      <c r="H64" s="14" t="s">
        <v>57</v>
      </c>
      <c r="I64" s="14" t="s">
        <v>98</v>
      </c>
      <c r="J64" s="12" t="s">
        <v>251</v>
      </c>
      <c r="K64" s="12" t="s">
        <v>60</v>
      </c>
      <c r="L64" s="18" t="s">
        <v>60</v>
      </c>
      <c r="M64" s="18" t="s">
        <v>60</v>
      </c>
      <c r="N64" s="14"/>
      <c r="O64" s="14" t="s">
        <v>61</v>
      </c>
      <c r="P64" s="12">
        <v>3</v>
      </c>
      <c r="Q64" s="19" t="s">
        <v>62</v>
      </c>
      <c r="R64" s="14" t="s">
        <v>40</v>
      </c>
      <c r="S64" s="12">
        <v>37</v>
      </c>
      <c r="T64" s="14" t="s">
        <v>138</v>
      </c>
      <c r="U64" s="14" t="s">
        <v>252</v>
      </c>
      <c r="V64" s="17" t="s">
        <v>253</v>
      </c>
    </row>
    <row r="65" spans="1:22" ht="22.8" x14ac:dyDescent="0.3">
      <c r="A65" s="12">
        <v>55</v>
      </c>
      <c r="B65" s="13" t="s">
        <v>254</v>
      </c>
      <c r="C65" s="12" t="s">
        <v>143</v>
      </c>
      <c r="D65" s="12" t="s">
        <v>255</v>
      </c>
      <c r="E65" s="14" t="s">
        <v>256</v>
      </c>
      <c r="F65" s="14" t="s">
        <v>257</v>
      </c>
      <c r="G65" s="14" t="s">
        <v>57</v>
      </c>
      <c r="H65" s="14" t="s">
        <v>86</v>
      </c>
      <c r="I65" s="14" t="s">
        <v>212</v>
      </c>
      <c r="J65" s="12" t="s">
        <v>258</v>
      </c>
      <c r="K65" s="12" t="s">
        <v>60</v>
      </c>
      <c r="L65" s="18" t="s">
        <v>60</v>
      </c>
      <c r="M65" s="18" t="s">
        <v>60</v>
      </c>
      <c r="N65" s="14"/>
      <c r="O65" s="14" t="s">
        <v>259</v>
      </c>
      <c r="P65" s="12">
        <v>4</v>
      </c>
      <c r="Q65" s="19" t="s">
        <v>62</v>
      </c>
      <c r="R65" s="14" t="s">
        <v>260</v>
      </c>
      <c r="S65" s="12">
        <v>10</v>
      </c>
      <c r="T65" s="14" t="s">
        <v>261</v>
      </c>
      <c r="U65" s="14" t="s">
        <v>262</v>
      </c>
      <c r="V65" s="17" t="s">
        <v>263</v>
      </c>
    </row>
    <row r="66" spans="1:22" ht="34.200000000000003" x14ac:dyDescent="0.3">
      <c r="A66" s="12">
        <v>56</v>
      </c>
      <c r="B66" s="13" t="s">
        <v>264</v>
      </c>
      <c r="C66" s="12" t="s">
        <v>143</v>
      </c>
      <c r="D66" s="12" t="s">
        <v>265</v>
      </c>
      <c r="E66" s="14" t="s">
        <v>266</v>
      </c>
      <c r="F66" s="14" t="s">
        <v>267</v>
      </c>
      <c r="G66" s="14" t="s">
        <v>165</v>
      </c>
      <c r="H66" s="14" t="s">
        <v>268</v>
      </c>
      <c r="I66" s="14" t="s">
        <v>87</v>
      </c>
      <c r="J66" s="12" t="s">
        <v>269</v>
      </c>
      <c r="K66" s="12" t="s">
        <v>60</v>
      </c>
      <c r="L66" s="15" t="s">
        <v>37</v>
      </c>
      <c r="M66" s="15" t="s">
        <v>37</v>
      </c>
      <c r="N66" s="14"/>
      <c r="O66" s="14" t="s">
        <v>270</v>
      </c>
      <c r="P66" s="12">
        <v>7</v>
      </c>
      <c r="Q66" s="21" t="s">
        <v>136</v>
      </c>
      <c r="R66" s="14" t="s">
        <v>271</v>
      </c>
      <c r="S66" s="12">
        <v>7</v>
      </c>
      <c r="T66" s="14" t="s">
        <v>91</v>
      </c>
      <c r="U66" s="14" t="s">
        <v>272</v>
      </c>
      <c r="V66" s="17" t="s">
        <v>273</v>
      </c>
    </row>
    <row r="67" spans="1:22" x14ac:dyDescent="0.3">
      <c r="A67" s="12">
        <v>57</v>
      </c>
      <c r="B67" s="13" t="s">
        <v>274</v>
      </c>
      <c r="C67" s="12" t="s">
        <v>143</v>
      </c>
      <c r="D67" s="12" t="s">
        <v>275</v>
      </c>
      <c r="E67" s="14" t="s">
        <v>276</v>
      </c>
      <c r="F67" s="14" t="s">
        <v>277</v>
      </c>
      <c r="G67" s="14" t="s">
        <v>268</v>
      </c>
      <c r="H67" s="14" t="s">
        <v>278</v>
      </c>
      <c r="I67" s="14" t="s">
        <v>87</v>
      </c>
      <c r="J67" s="12" t="s">
        <v>279</v>
      </c>
      <c r="K67" s="12" t="s">
        <v>60</v>
      </c>
      <c r="L67" s="18" t="s">
        <v>60</v>
      </c>
      <c r="M67" s="18" t="s">
        <v>60</v>
      </c>
      <c r="N67" s="14"/>
      <c r="O67" s="14" t="s">
        <v>153</v>
      </c>
      <c r="P67" s="12">
        <v>6</v>
      </c>
      <c r="Q67" s="21" t="s">
        <v>136</v>
      </c>
      <c r="R67" s="14" t="s">
        <v>40</v>
      </c>
      <c r="S67" s="12">
        <v>22</v>
      </c>
      <c r="T67" s="14" t="s">
        <v>41</v>
      </c>
      <c r="U67" s="14" t="s">
        <v>41</v>
      </c>
      <c r="V67" s="17" t="s">
        <v>280</v>
      </c>
    </row>
    <row r="68" spans="1:22" ht="22.8" x14ac:dyDescent="0.3">
      <c r="A68" s="12">
        <v>58</v>
      </c>
      <c r="B68" s="13" t="s">
        <v>281</v>
      </c>
      <c r="C68" s="12" t="s">
        <v>143</v>
      </c>
      <c r="D68" s="12" t="s">
        <v>282</v>
      </c>
      <c r="E68" s="14" t="s">
        <v>283</v>
      </c>
      <c r="F68" s="14" t="s">
        <v>284</v>
      </c>
      <c r="G68" s="14" t="s">
        <v>57</v>
      </c>
      <c r="H68" s="14" t="s">
        <v>86</v>
      </c>
      <c r="I68" s="14" t="s">
        <v>212</v>
      </c>
      <c r="J68" s="12" t="s">
        <v>213</v>
      </c>
      <c r="K68" s="12" t="s">
        <v>60</v>
      </c>
      <c r="L68" s="18" t="s">
        <v>60</v>
      </c>
      <c r="M68" s="18" t="s">
        <v>60</v>
      </c>
      <c r="N68" s="14"/>
      <c r="O68" s="14" t="s">
        <v>153</v>
      </c>
      <c r="P68" s="12">
        <v>6</v>
      </c>
      <c r="Q68" s="21" t="s">
        <v>136</v>
      </c>
      <c r="R68" s="14" t="s">
        <v>285</v>
      </c>
      <c r="S68" s="12">
        <v>22</v>
      </c>
      <c r="T68" s="14" t="s">
        <v>64</v>
      </c>
      <c r="U68" s="14" t="s">
        <v>64</v>
      </c>
      <c r="V68" s="17" t="s">
        <v>286</v>
      </c>
    </row>
    <row r="69" spans="1:22" x14ac:dyDescent="0.3">
      <c r="A69" s="12">
        <v>59</v>
      </c>
      <c r="B69" s="13" t="s">
        <v>287</v>
      </c>
      <c r="C69" s="12" t="s">
        <v>143</v>
      </c>
      <c r="D69" s="12" t="s">
        <v>288</v>
      </c>
      <c r="E69" s="14" t="s">
        <v>34</v>
      </c>
      <c r="F69" s="14" t="s">
        <v>34</v>
      </c>
      <c r="G69" s="14" t="s">
        <v>35</v>
      </c>
      <c r="H69" s="14" t="s">
        <v>35</v>
      </c>
      <c r="I69" s="14" t="s">
        <v>36</v>
      </c>
      <c r="J69" s="12" t="s">
        <v>34</v>
      </c>
      <c r="K69" s="12" t="s">
        <v>34</v>
      </c>
      <c r="L69" s="15" t="s">
        <v>37</v>
      </c>
      <c r="M69" s="15" t="s">
        <v>37</v>
      </c>
      <c r="N69" s="14"/>
      <c r="O69" s="14" t="s">
        <v>38</v>
      </c>
      <c r="P69" s="12" t="s">
        <v>34</v>
      </c>
      <c r="Q69" s="16" t="s">
        <v>39</v>
      </c>
      <c r="R69" s="14" t="s">
        <v>40</v>
      </c>
      <c r="S69" s="12">
        <v>0</v>
      </c>
      <c r="T69" s="14" t="s">
        <v>41</v>
      </c>
      <c r="U69" s="14" t="s">
        <v>41</v>
      </c>
      <c r="V69" s="17"/>
    </row>
    <row r="70" spans="1:22" ht="22.8" x14ac:dyDescent="0.3">
      <c r="A70" s="12">
        <v>60</v>
      </c>
      <c r="B70" s="13" t="s">
        <v>289</v>
      </c>
      <c r="C70" s="12" t="s">
        <v>143</v>
      </c>
      <c r="D70" s="12" t="s">
        <v>109</v>
      </c>
      <c r="E70" s="14" t="s">
        <v>290</v>
      </c>
      <c r="F70" s="14" t="s">
        <v>291</v>
      </c>
      <c r="G70" s="14" t="s">
        <v>57</v>
      </c>
      <c r="H70" s="14" t="s">
        <v>57</v>
      </c>
      <c r="I70" s="14" t="s">
        <v>212</v>
      </c>
      <c r="J70" s="12" t="s">
        <v>292</v>
      </c>
      <c r="K70" s="12" t="s">
        <v>60</v>
      </c>
      <c r="L70" s="15" t="s">
        <v>37</v>
      </c>
      <c r="M70" s="15" t="s">
        <v>37</v>
      </c>
      <c r="N70" s="14"/>
      <c r="O70" s="14" t="s">
        <v>135</v>
      </c>
      <c r="P70" s="12">
        <v>9</v>
      </c>
      <c r="Q70" s="21" t="s">
        <v>136</v>
      </c>
      <c r="R70" s="14" t="s">
        <v>293</v>
      </c>
      <c r="S70" s="12">
        <v>51</v>
      </c>
      <c r="T70" s="14" t="s">
        <v>138</v>
      </c>
      <c r="U70" s="14" t="s">
        <v>294</v>
      </c>
      <c r="V70" s="17" t="s">
        <v>295</v>
      </c>
    </row>
    <row r="71" spans="1:22" ht="22.8" x14ac:dyDescent="0.3">
      <c r="A71" s="12">
        <v>61</v>
      </c>
      <c r="B71" s="13" t="s">
        <v>296</v>
      </c>
      <c r="C71" s="12" t="s">
        <v>143</v>
      </c>
      <c r="D71" s="12" t="s">
        <v>111</v>
      </c>
      <c r="E71" s="14" t="s">
        <v>297</v>
      </c>
      <c r="F71" s="14" t="s">
        <v>298</v>
      </c>
      <c r="G71" s="14" t="s">
        <v>57</v>
      </c>
      <c r="H71" s="14" t="s">
        <v>86</v>
      </c>
      <c r="I71" s="14" t="s">
        <v>212</v>
      </c>
      <c r="J71" s="12" t="s">
        <v>258</v>
      </c>
      <c r="K71" s="12" t="s">
        <v>60</v>
      </c>
      <c r="L71" s="18" t="s">
        <v>60</v>
      </c>
      <c r="M71" s="18" t="s">
        <v>60</v>
      </c>
      <c r="N71" s="14"/>
      <c r="O71" s="14" t="s">
        <v>199</v>
      </c>
      <c r="P71" s="12">
        <v>6</v>
      </c>
      <c r="Q71" s="21" t="s">
        <v>136</v>
      </c>
      <c r="R71" s="14" t="s">
        <v>299</v>
      </c>
      <c r="S71" s="12">
        <v>14</v>
      </c>
      <c r="T71" s="14" t="s">
        <v>174</v>
      </c>
      <c r="U71" s="14" t="s">
        <v>300</v>
      </c>
      <c r="V71" s="17" t="s">
        <v>301</v>
      </c>
    </row>
    <row r="72" spans="1:22" ht="34.200000000000003" x14ac:dyDescent="0.3">
      <c r="A72" s="12">
        <v>62</v>
      </c>
      <c r="B72" s="13" t="s">
        <v>302</v>
      </c>
      <c r="C72" s="12" t="s">
        <v>143</v>
      </c>
      <c r="D72" s="12" t="s">
        <v>111</v>
      </c>
      <c r="E72" s="14" t="s">
        <v>303</v>
      </c>
      <c r="F72" s="14" t="s">
        <v>304</v>
      </c>
      <c r="G72" s="14" t="s">
        <v>57</v>
      </c>
      <c r="H72" s="14" t="s">
        <v>86</v>
      </c>
      <c r="I72" s="14" t="s">
        <v>186</v>
      </c>
      <c r="J72" s="12" t="s">
        <v>187</v>
      </c>
      <c r="K72" s="12" t="s">
        <v>60</v>
      </c>
      <c r="L72" s="15" t="s">
        <v>37</v>
      </c>
      <c r="M72" s="15" t="s">
        <v>37</v>
      </c>
      <c r="N72" s="14"/>
      <c r="O72" s="14" t="s">
        <v>61</v>
      </c>
      <c r="P72" s="12">
        <v>3</v>
      </c>
      <c r="Q72" s="19" t="s">
        <v>62</v>
      </c>
      <c r="R72" s="14" t="s">
        <v>40</v>
      </c>
      <c r="S72" s="12">
        <v>37</v>
      </c>
      <c r="T72" s="14" t="s">
        <v>138</v>
      </c>
      <c r="U72" s="14" t="s">
        <v>235</v>
      </c>
      <c r="V72" s="17" t="s">
        <v>305</v>
      </c>
    </row>
    <row r="73" spans="1:22" ht="22.8" x14ac:dyDescent="0.3">
      <c r="A73" s="12">
        <v>63</v>
      </c>
      <c r="B73" s="13" t="s">
        <v>306</v>
      </c>
      <c r="C73" s="12" t="s">
        <v>143</v>
      </c>
      <c r="D73" s="12" t="s">
        <v>307</v>
      </c>
      <c r="E73" s="14" t="s">
        <v>308</v>
      </c>
      <c r="F73" s="14" t="s">
        <v>309</v>
      </c>
      <c r="G73" s="14" t="s">
        <v>165</v>
      </c>
      <c r="H73" s="14" t="s">
        <v>57</v>
      </c>
      <c r="I73" s="14" t="s">
        <v>98</v>
      </c>
      <c r="J73" s="12" t="s">
        <v>310</v>
      </c>
      <c r="K73" s="12" t="s">
        <v>60</v>
      </c>
      <c r="L73" s="15" t="s">
        <v>37</v>
      </c>
      <c r="M73" s="15" t="s">
        <v>37</v>
      </c>
      <c r="N73" s="14"/>
      <c r="O73" s="14" t="s">
        <v>61</v>
      </c>
      <c r="P73" s="12">
        <v>3</v>
      </c>
      <c r="Q73" s="19" t="s">
        <v>62</v>
      </c>
      <c r="R73" s="14" t="s">
        <v>40</v>
      </c>
      <c r="S73" s="12">
        <v>37</v>
      </c>
      <c r="T73" s="14" t="s">
        <v>311</v>
      </c>
      <c r="U73" s="14" t="s">
        <v>312</v>
      </c>
      <c r="V73" s="17" t="s">
        <v>313</v>
      </c>
    </row>
    <row r="74" spans="1:22" x14ac:dyDescent="0.3">
      <c r="A74" s="12">
        <v>64</v>
      </c>
      <c r="B74" s="13" t="s">
        <v>314</v>
      </c>
      <c r="C74" s="12" t="s">
        <v>143</v>
      </c>
      <c r="D74" s="12" t="s">
        <v>315</v>
      </c>
      <c r="E74" s="14" t="s">
        <v>316</v>
      </c>
      <c r="F74" s="14" t="s">
        <v>317</v>
      </c>
      <c r="G74" s="14" t="s">
        <v>57</v>
      </c>
      <c r="H74" s="14" t="s">
        <v>57</v>
      </c>
      <c r="I74" s="14" t="s">
        <v>212</v>
      </c>
      <c r="J74" s="12" t="s">
        <v>292</v>
      </c>
      <c r="K74" s="12" t="s">
        <v>60</v>
      </c>
      <c r="L74" s="18" t="s">
        <v>60</v>
      </c>
      <c r="M74" s="15" t="s">
        <v>37</v>
      </c>
      <c r="N74" s="14"/>
      <c r="O74" s="14" t="s">
        <v>318</v>
      </c>
      <c r="P74" s="12">
        <v>12</v>
      </c>
      <c r="Q74" s="20" t="s">
        <v>101</v>
      </c>
      <c r="R74" s="14" t="s">
        <v>40</v>
      </c>
      <c r="S74" s="12">
        <v>17</v>
      </c>
      <c r="T74" s="14" t="s">
        <v>41</v>
      </c>
      <c r="U74" s="14" t="s">
        <v>41</v>
      </c>
      <c r="V74" s="17" t="s">
        <v>319</v>
      </c>
    </row>
    <row r="75" spans="1:22" ht="34.200000000000003" x14ac:dyDescent="0.3">
      <c r="A75" s="12">
        <v>65</v>
      </c>
      <c r="B75" s="13" t="s">
        <v>320</v>
      </c>
      <c r="C75" s="12" t="s">
        <v>143</v>
      </c>
      <c r="D75" s="12" t="s">
        <v>321</v>
      </c>
      <c r="E75" s="14" t="s">
        <v>322</v>
      </c>
      <c r="F75" s="14" t="s">
        <v>323</v>
      </c>
      <c r="G75" s="14" t="s">
        <v>165</v>
      </c>
      <c r="H75" s="14" t="s">
        <v>268</v>
      </c>
      <c r="I75" s="14" t="s">
        <v>58</v>
      </c>
      <c r="J75" s="12" t="s">
        <v>324</v>
      </c>
      <c r="K75" s="12" t="s">
        <v>60</v>
      </c>
      <c r="L75" s="15" t="s">
        <v>37</v>
      </c>
      <c r="M75" s="15" t="s">
        <v>37</v>
      </c>
      <c r="N75" s="14"/>
      <c r="O75" s="14" t="s">
        <v>318</v>
      </c>
      <c r="P75" s="12">
        <v>12</v>
      </c>
      <c r="Q75" s="20" t="s">
        <v>101</v>
      </c>
      <c r="R75" s="14" t="s">
        <v>40</v>
      </c>
      <c r="S75" s="12">
        <v>17</v>
      </c>
      <c r="T75" s="14" t="s">
        <v>138</v>
      </c>
      <c r="U75" s="14" t="s">
        <v>325</v>
      </c>
      <c r="V75" s="17" t="s">
        <v>326</v>
      </c>
    </row>
    <row r="76" spans="1:22" ht="34.200000000000003" x14ac:dyDescent="0.3">
      <c r="A76" s="12">
        <v>66</v>
      </c>
      <c r="B76" s="13" t="s">
        <v>327</v>
      </c>
      <c r="C76" s="12" t="s">
        <v>143</v>
      </c>
      <c r="D76" s="12" t="s">
        <v>328</v>
      </c>
      <c r="E76" s="14" t="s">
        <v>329</v>
      </c>
      <c r="F76" s="14" t="s">
        <v>330</v>
      </c>
      <c r="G76" s="14" t="s">
        <v>57</v>
      </c>
      <c r="H76" s="14" t="s">
        <v>57</v>
      </c>
      <c r="I76" s="14" t="s">
        <v>87</v>
      </c>
      <c r="J76" s="12" t="s">
        <v>331</v>
      </c>
      <c r="K76" s="12" t="s">
        <v>60</v>
      </c>
      <c r="L76" s="15" t="s">
        <v>37</v>
      </c>
      <c r="M76" s="15" t="s">
        <v>37</v>
      </c>
      <c r="N76" s="14"/>
      <c r="O76" s="14" t="s">
        <v>199</v>
      </c>
      <c r="P76" s="12">
        <v>6</v>
      </c>
      <c r="Q76" s="21" t="s">
        <v>136</v>
      </c>
      <c r="R76" s="14" t="s">
        <v>332</v>
      </c>
      <c r="S76" s="12">
        <v>14</v>
      </c>
      <c r="T76" s="14" t="s">
        <v>64</v>
      </c>
      <c r="U76" s="14" t="s">
        <v>333</v>
      </c>
      <c r="V76" s="17" t="s">
        <v>334</v>
      </c>
    </row>
    <row r="77" spans="1:22" ht="34.200000000000003" x14ac:dyDescent="0.3">
      <c r="A77" s="12">
        <v>67</v>
      </c>
      <c r="B77" s="13" t="s">
        <v>335</v>
      </c>
      <c r="C77" s="12" t="s">
        <v>143</v>
      </c>
      <c r="D77" s="12" t="s">
        <v>336</v>
      </c>
      <c r="E77" s="14" t="s">
        <v>337</v>
      </c>
      <c r="F77" s="14" t="s">
        <v>338</v>
      </c>
      <c r="G77" s="14" t="s">
        <v>57</v>
      </c>
      <c r="H77" s="14" t="s">
        <v>57</v>
      </c>
      <c r="I77" s="14" t="s">
        <v>87</v>
      </c>
      <c r="J77" s="12" t="s">
        <v>206</v>
      </c>
      <c r="K77" s="12" t="s">
        <v>60</v>
      </c>
      <c r="L77" s="15" t="s">
        <v>37</v>
      </c>
      <c r="M77" s="15" t="s">
        <v>37</v>
      </c>
      <c r="N77" s="14"/>
      <c r="O77" s="14" t="s">
        <v>135</v>
      </c>
      <c r="P77" s="12">
        <v>9</v>
      </c>
      <c r="Q77" s="21" t="s">
        <v>136</v>
      </c>
      <c r="R77" s="14" t="s">
        <v>293</v>
      </c>
      <c r="S77" s="12">
        <v>51</v>
      </c>
      <c r="T77" s="14" t="s">
        <v>311</v>
      </c>
      <c r="U77" s="14" t="s">
        <v>311</v>
      </c>
      <c r="V77" s="17" t="s">
        <v>339</v>
      </c>
    </row>
    <row r="78" spans="1:22" ht="34.200000000000003" x14ac:dyDescent="0.3">
      <c r="A78" s="12">
        <v>68</v>
      </c>
      <c r="B78" s="13" t="s">
        <v>340</v>
      </c>
      <c r="C78" s="12" t="s">
        <v>143</v>
      </c>
      <c r="D78" s="12" t="s">
        <v>341</v>
      </c>
      <c r="E78" s="14" t="s">
        <v>342</v>
      </c>
      <c r="F78" s="14" t="s">
        <v>343</v>
      </c>
      <c r="G78" s="14" t="s">
        <v>57</v>
      </c>
      <c r="H78" s="14" t="s">
        <v>97</v>
      </c>
      <c r="I78" s="14" t="s">
        <v>87</v>
      </c>
      <c r="J78" s="12" t="s">
        <v>206</v>
      </c>
      <c r="K78" s="12" t="s">
        <v>60</v>
      </c>
      <c r="L78" s="15" t="s">
        <v>37</v>
      </c>
      <c r="M78" s="15" t="s">
        <v>37</v>
      </c>
      <c r="N78" s="14"/>
      <c r="O78" s="14" t="s">
        <v>61</v>
      </c>
      <c r="P78" s="12">
        <v>3</v>
      </c>
      <c r="Q78" s="19" t="s">
        <v>62</v>
      </c>
      <c r="R78" s="14" t="s">
        <v>40</v>
      </c>
      <c r="S78" s="12">
        <v>37</v>
      </c>
      <c r="T78" s="14" t="s">
        <v>174</v>
      </c>
      <c r="U78" s="14" t="s">
        <v>344</v>
      </c>
      <c r="V78" s="17" t="s">
        <v>345</v>
      </c>
    </row>
    <row r="79" spans="1:22" x14ac:dyDescent="0.3">
      <c r="A79" s="12">
        <v>69</v>
      </c>
      <c r="B79" s="13" t="s">
        <v>346</v>
      </c>
      <c r="C79" s="12" t="s">
        <v>143</v>
      </c>
      <c r="D79" s="12" t="s">
        <v>117</v>
      </c>
      <c r="E79" s="14" t="s">
        <v>34</v>
      </c>
      <c r="F79" s="14" t="s">
        <v>34</v>
      </c>
      <c r="G79" s="14" t="s">
        <v>35</v>
      </c>
      <c r="H79" s="14" t="s">
        <v>35</v>
      </c>
      <c r="I79" s="14" t="s">
        <v>36</v>
      </c>
      <c r="J79" s="12" t="s">
        <v>34</v>
      </c>
      <c r="K79" s="12" t="s">
        <v>34</v>
      </c>
      <c r="L79" s="15" t="s">
        <v>37</v>
      </c>
      <c r="M79" s="15" t="s">
        <v>37</v>
      </c>
      <c r="N79" s="14"/>
      <c r="O79" s="14" t="s">
        <v>38</v>
      </c>
      <c r="P79" s="12" t="s">
        <v>34</v>
      </c>
      <c r="Q79" s="16" t="s">
        <v>39</v>
      </c>
      <c r="R79" s="14" t="s">
        <v>40</v>
      </c>
      <c r="S79" s="12">
        <v>0</v>
      </c>
      <c r="T79" s="14" t="s">
        <v>41</v>
      </c>
      <c r="U79" s="14" t="s">
        <v>41</v>
      </c>
      <c r="V79" s="17"/>
    </row>
    <row r="80" spans="1:22" x14ac:dyDescent="0.3">
      <c r="A80" s="12">
        <v>70</v>
      </c>
      <c r="B80" s="13" t="s">
        <v>347</v>
      </c>
      <c r="C80" s="12" t="s">
        <v>143</v>
      </c>
      <c r="D80" s="12" t="s">
        <v>117</v>
      </c>
      <c r="E80" s="14" t="s">
        <v>348</v>
      </c>
      <c r="F80" s="14" t="s">
        <v>349</v>
      </c>
      <c r="G80" s="14" t="s">
        <v>165</v>
      </c>
      <c r="H80" s="14" t="s">
        <v>165</v>
      </c>
      <c r="I80" s="14" t="s">
        <v>98</v>
      </c>
      <c r="J80" s="12" t="s">
        <v>240</v>
      </c>
      <c r="K80" s="12" t="s">
        <v>60</v>
      </c>
      <c r="L80" s="15" t="s">
        <v>37</v>
      </c>
      <c r="M80" s="15" t="s">
        <v>37</v>
      </c>
      <c r="N80" s="14"/>
      <c r="O80" s="14" t="s">
        <v>350</v>
      </c>
      <c r="P80" s="12">
        <v>15</v>
      </c>
      <c r="Q80" s="20" t="s">
        <v>101</v>
      </c>
      <c r="R80" s="14" t="s">
        <v>40</v>
      </c>
      <c r="S80" s="12">
        <v>2</v>
      </c>
      <c r="T80" s="14" t="s">
        <v>41</v>
      </c>
      <c r="U80" s="14" t="s">
        <v>41</v>
      </c>
      <c r="V80" s="17" t="s">
        <v>351</v>
      </c>
    </row>
    <row r="81" spans="1:22" x14ac:dyDescent="0.3">
      <c r="A81" s="12">
        <v>71</v>
      </c>
      <c r="B81" s="13" t="s">
        <v>352</v>
      </c>
      <c r="C81" s="12" t="s">
        <v>143</v>
      </c>
      <c r="D81" s="12" t="s">
        <v>353</v>
      </c>
      <c r="E81" s="14" t="s">
        <v>354</v>
      </c>
      <c r="F81" s="14" t="s">
        <v>355</v>
      </c>
      <c r="G81" s="14" t="s">
        <v>57</v>
      </c>
      <c r="H81" s="14" t="s">
        <v>86</v>
      </c>
      <c r="I81" s="14" t="s">
        <v>186</v>
      </c>
      <c r="J81" s="12" t="s">
        <v>356</v>
      </c>
      <c r="K81" s="12" t="s">
        <v>37</v>
      </c>
      <c r="L81" s="15" t="s">
        <v>37</v>
      </c>
      <c r="M81" s="15" t="s">
        <v>37</v>
      </c>
      <c r="N81" s="14"/>
      <c r="O81" s="14" t="s">
        <v>61</v>
      </c>
      <c r="P81" s="12">
        <v>3</v>
      </c>
      <c r="Q81" s="19" t="s">
        <v>62</v>
      </c>
      <c r="R81" s="14" t="s">
        <v>40</v>
      </c>
      <c r="S81" s="12">
        <v>37</v>
      </c>
      <c r="T81" s="14" t="s">
        <v>357</v>
      </c>
      <c r="U81" s="14" t="s">
        <v>357</v>
      </c>
      <c r="V81" s="17" t="s">
        <v>358</v>
      </c>
    </row>
    <row r="82" spans="1:22" ht="22.8" x14ac:dyDescent="0.3">
      <c r="A82" s="12">
        <v>72</v>
      </c>
      <c r="B82" s="13" t="s">
        <v>359</v>
      </c>
      <c r="C82" s="12" t="s">
        <v>143</v>
      </c>
      <c r="D82" s="12" t="s">
        <v>360</v>
      </c>
      <c r="E82" s="14" t="s">
        <v>361</v>
      </c>
      <c r="F82" s="14" t="s">
        <v>362</v>
      </c>
      <c r="G82" s="14" t="s">
        <v>363</v>
      </c>
      <c r="H82" s="14" t="s">
        <v>86</v>
      </c>
      <c r="I82" s="14" t="s">
        <v>58</v>
      </c>
      <c r="J82" s="12" t="s">
        <v>364</v>
      </c>
      <c r="K82" s="12" t="s">
        <v>60</v>
      </c>
      <c r="L82" s="18" t="s">
        <v>60</v>
      </c>
      <c r="M82" s="18" t="s">
        <v>60</v>
      </c>
      <c r="N82" s="14"/>
      <c r="O82" s="14" t="s">
        <v>365</v>
      </c>
      <c r="P82" s="12">
        <v>7</v>
      </c>
      <c r="Q82" s="21" t="s">
        <v>136</v>
      </c>
      <c r="R82" s="14" t="s">
        <v>366</v>
      </c>
      <c r="S82" s="12">
        <v>14</v>
      </c>
      <c r="T82" s="14" t="s">
        <v>367</v>
      </c>
      <c r="U82" s="14" t="s">
        <v>368</v>
      </c>
      <c r="V82" s="17" t="s">
        <v>369</v>
      </c>
    </row>
    <row r="83" spans="1:22" ht="22.8" x14ac:dyDescent="0.3">
      <c r="A83" s="12">
        <v>73</v>
      </c>
      <c r="B83" s="13" t="s">
        <v>112</v>
      </c>
      <c r="C83" s="12" t="s">
        <v>143</v>
      </c>
      <c r="D83" s="12" t="s">
        <v>360</v>
      </c>
      <c r="E83" s="14" t="s">
        <v>370</v>
      </c>
      <c r="F83" s="14" t="s">
        <v>371</v>
      </c>
      <c r="G83" s="14" t="s">
        <v>57</v>
      </c>
      <c r="H83" s="14" t="s">
        <v>57</v>
      </c>
      <c r="I83" s="14" t="s">
        <v>87</v>
      </c>
      <c r="J83" s="12" t="s">
        <v>206</v>
      </c>
      <c r="K83" s="12" t="s">
        <v>60</v>
      </c>
      <c r="L83" s="18" t="s">
        <v>60</v>
      </c>
      <c r="M83" s="18" t="s">
        <v>60</v>
      </c>
      <c r="N83" s="14"/>
      <c r="O83" s="14" t="s">
        <v>38</v>
      </c>
      <c r="P83" s="12" t="s">
        <v>34</v>
      </c>
      <c r="Q83" s="16" t="s">
        <v>39</v>
      </c>
      <c r="R83" s="14" t="s">
        <v>40</v>
      </c>
      <c r="S83" s="12">
        <v>0</v>
      </c>
      <c r="T83" s="14" t="s">
        <v>174</v>
      </c>
      <c r="U83" s="14" t="s">
        <v>175</v>
      </c>
      <c r="V83" s="17" t="s">
        <v>372</v>
      </c>
    </row>
    <row r="84" spans="1:22" ht="22.8" x14ac:dyDescent="0.3">
      <c r="A84" s="12">
        <v>74</v>
      </c>
      <c r="B84" s="13" t="s">
        <v>373</v>
      </c>
      <c r="C84" s="12" t="s">
        <v>143</v>
      </c>
      <c r="D84" s="12" t="s">
        <v>374</v>
      </c>
      <c r="E84" s="14" t="s">
        <v>375</v>
      </c>
      <c r="F84" s="14" t="s">
        <v>376</v>
      </c>
      <c r="G84" s="14" t="s">
        <v>165</v>
      </c>
      <c r="H84" s="14" t="s">
        <v>377</v>
      </c>
      <c r="I84" s="14" t="s">
        <v>87</v>
      </c>
      <c r="J84" s="12" t="s">
        <v>378</v>
      </c>
      <c r="K84" s="12" t="s">
        <v>60</v>
      </c>
      <c r="L84" s="15" t="s">
        <v>37</v>
      </c>
      <c r="M84" s="22" t="s">
        <v>146</v>
      </c>
      <c r="N84" s="14"/>
      <c r="O84" s="14" t="s">
        <v>89</v>
      </c>
      <c r="P84" s="12">
        <v>1</v>
      </c>
      <c r="Q84" s="19" t="s">
        <v>62</v>
      </c>
      <c r="R84" s="14" t="s">
        <v>379</v>
      </c>
      <c r="S84" s="12">
        <v>13</v>
      </c>
      <c r="T84" s="14" t="s">
        <v>367</v>
      </c>
      <c r="U84" s="14" t="s">
        <v>368</v>
      </c>
      <c r="V84" s="17" t="s">
        <v>380</v>
      </c>
    </row>
    <row r="85" spans="1:22" x14ac:dyDescent="0.3">
      <c r="A85" s="12">
        <v>75</v>
      </c>
      <c r="B85" s="13" t="s">
        <v>346</v>
      </c>
      <c r="C85" s="12" t="s">
        <v>143</v>
      </c>
      <c r="D85" s="12" t="s">
        <v>374</v>
      </c>
      <c r="E85" s="14" t="s">
        <v>381</v>
      </c>
      <c r="F85" s="14" t="s">
        <v>382</v>
      </c>
      <c r="G85" s="14" t="s">
        <v>57</v>
      </c>
      <c r="H85" s="14" t="s">
        <v>86</v>
      </c>
      <c r="I85" s="14" t="s">
        <v>98</v>
      </c>
      <c r="J85" s="12" t="s">
        <v>383</v>
      </c>
      <c r="K85" s="12" t="s">
        <v>60</v>
      </c>
      <c r="L85" s="18" t="s">
        <v>60</v>
      </c>
      <c r="M85" s="18" t="s">
        <v>60</v>
      </c>
      <c r="N85" s="14"/>
      <c r="O85" s="14" t="s">
        <v>193</v>
      </c>
      <c r="P85" s="12">
        <v>12</v>
      </c>
      <c r="Q85" s="20" t="s">
        <v>101</v>
      </c>
      <c r="R85" s="14" t="s">
        <v>40</v>
      </c>
      <c r="S85" s="12">
        <v>6</v>
      </c>
      <c r="T85" s="14" t="s">
        <v>181</v>
      </c>
      <c r="U85" s="14" t="s">
        <v>181</v>
      </c>
      <c r="V85" s="17" t="s">
        <v>384</v>
      </c>
    </row>
    <row r="86" spans="1:22" ht="22.8" x14ac:dyDescent="0.3">
      <c r="A86" s="12">
        <v>76</v>
      </c>
      <c r="B86" s="13" t="s">
        <v>385</v>
      </c>
      <c r="C86" s="12" t="s">
        <v>143</v>
      </c>
      <c r="D86" s="12" t="s">
        <v>386</v>
      </c>
      <c r="E86" s="14" t="s">
        <v>387</v>
      </c>
      <c r="F86" s="14" t="s">
        <v>388</v>
      </c>
      <c r="G86" s="14" t="s">
        <v>165</v>
      </c>
      <c r="H86" s="14" t="s">
        <v>97</v>
      </c>
      <c r="I86" s="14" t="s">
        <v>58</v>
      </c>
      <c r="J86" s="12" t="s">
        <v>59</v>
      </c>
      <c r="K86" s="12" t="s">
        <v>60</v>
      </c>
      <c r="L86" s="15" t="s">
        <v>37</v>
      </c>
      <c r="M86" s="15" t="s">
        <v>37</v>
      </c>
      <c r="N86" s="14"/>
      <c r="O86" s="14" t="s">
        <v>153</v>
      </c>
      <c r="P86" s="12">
        <v>6</v>
      </c>
      <c r="Q86" s="21" t="s">
        <v>136</v>
      </c>
      <c r="R86" s="14" t="s">
        <v>40</v>
      </c>
      <c r="S86" s="12">
        <v>22</v>
      </c>
      <c r="T86" s="14" t="s">
        <v>367</v>
      </c>
      <c r="U86" s="14" t="s">
        <v>367</v>
      </c>
      <c r="V86" s="17" t="s">
        <v>389</v>
      </c>
    </row>
    <row r="87" spans="1:22" x14ac:dyDescent="0.3">
      <c r="A87" s="12">
        <v>77</v>
      </c>
      <c r="B87" s="13" t="s">
        <v>390</v>
      </c>
      <c r="C87" s="12" t="s">
        <v>143</v>
      </c>
      <c r="D87" s="12" t="s">
        <v>391</v>
      </c>
      <c r="E87" s="14" t="s">
        <v>392</v>
      </c>
      <c r="F87" s="14" t="s">
        <v>393</v>
      </c>
      <c r="G87" s="14" t="s">
        <v>363</v>
      </c>
      <c r="H87" s="14" t="s">
        <v>57</v>
      </c>
      <c r="I87" s="14" t="s">
        <v>87</v>
      </c>
      <c r="J87" s="12" t="s">
        <v>394</v>
      </c>
      <c r="K87" s="12" t="s">
        <v>60</v>
      </c>
      <c r="L87" s="18" t="s">
        <v>60</v>
      </c>
      <c r="M87" s="18" t="s">
        <v>60</v>
      </c>
      <c r="N87" s="14"/>
      <c r="O87" s="14" t="s">
        <v>61</v>
      </c>
      <c r="P87" s="12">
        <v>3</v>
      </c>
      <c r="Q87" s="19" t="s">
        <v>62</v>
      </c>
      <c r="R87" s="14" t="s">
        <v>40</v>
      </c>
      <c r="S87" s="12">
        <v>37</v>
      </c>
      <c r="T87" s="14" t="s">
        <v>41</v>
      </c>
      <c r="U87" s="14" t="s">
        <v>41</v>
      </c>
      <c r="V87" s="17" t="s">
        <v>395</v>
      </c>
    </row>
    <row r="89" spans="1:22" x14ac:dyDescent="0.3">
      <c r="A89" s="10" t="s">
        <v>396</v>
      </c>
      <c r="B89" s="11"/>
      <c r="C89" s="11"/>
      <c r="D89" s="11"/>
      <c r="E89" s="11"/>
      <c r="F89" s="11"/>
      <c r="G89" s="11"/>
      <c r="H89" s="11"/>
      <c r="I89" s="11"/>
      <c r="J89" s="11"/>
      <c r="K89" s="11"/>
      <c r="L89" s="11"/>
      <c r="M89" s="11"/>
      <c r="N89" s="11"/>
      <c r="O89" s="11"/>
      <c r="P89" s="11"/>
      <c r="Q89" s="11"/>
      <c r="R89" s="11"/>
      <c r="S89" s="11"/>
      <c r="T89" s="11"/>
      <c r="U89" s="11"/>
      <c r="V89" s="11"/>
    </row>
    <row r="90" spans="1:22" ht="34.200000000000003" x14ac:dyDescent="0.3">
      <c r="A90" s="12">
        <v>78</v>
      </c>
      <c r="B90" s="13" t="s">
        <v>397</v>
      </c>
      <c r="C90" s="12" t="s">
        <v>398</v>
      </c>
      <c r="D90" s="12" t="s">
        <v>33</v>
      </c>
      <c r="E90" s="14" t="s">
        <v>399</v>
      </c>
      <c r="F90" s="14" t="s">
        <v>400</v>
      </c>
      <c r="G90" s="14" t="s">
        <v>97</v>
      </c>
      <c r="H90" s="14" t="s">
        <v>97</v>
      </c>
      <c r="I90" s="14" t="s">
        <v>98</v>
      </c>
      <c r="J90" s="12" t="s">
        <v>159</v>
      </c>
      <c r="K90" s="12" t="s">
        <v>60</v>
      </c>
      <c r="L90" s="15" t="s">
        <v>37</v>
      </c>
      <c r="M90" s="15" t="s">
        <v>37</v>
      </c>
      <c r="N90" s="14"/>
      <c r="O90" s="14" t="s">
        <v>401</v>
      </c>
      <c r="P90" s="12">
        <v>16</v>
      </c>
      <c r="Q90" s="23" t="s">
        <v>402</v>
      </c>
      <c r="R90" s="14" t="s">
        <v>403</v>
      </c>
      <c r="S90" s="12">
        <v>0</v>
      </c>
      <c r="T90" s="14" t="s">
        <v>367</v>
      </c>
      <c r="U90" s="14" t="s">
        <v>367</v>
      </c>
      <c r="V90" s="17" t="s">
        <v>404</v>
      </c>
    </row>
    <row r="91" spans="1:22" x14ac:dyDescent="0.3">
      <c r="A91" s="12">
        <v>79</v>
      </c>
      <c r="B91" s="13" t="s">
        <v>405</v>
      </c>
      <c r="C91" s="12" t="s">
        <v>398</v>
      </c>
      <c r="D91" s="12" t="s">
        <v>33</v>
      </c>
      <c r="E91" s="14" t="s">
        <v>406</v>
      </c>
      <c r="F91" s="14" t="s">
        <v>407</v>
      </c>
      <c r="G91" s="14" t="s">
        <v>57</v>
      </c>
      <c r="H91" s="14" t="s">
        <v>86</v>
      </c>
      <c r="I91" s="14" t="s">
        <v>212</v>
      </c>
      <c r="J91" s="12" t="s">
        <v>258</v>
      </c>
      <c r="K91" s="12" t="s">
        <v>60</v>
      </c>
      <c r="L91" s="18" t="s">
        <v>60</v>
      </c>
      <c r="M91" s="18" t="s">
        <v>60</v>
      </c>
      <c r="N91" s="14"/>
      <c r="O91" s="14" t="s">
        <v>259</v>
      </c>
      <c r="P91" s="12">
        <v>4</v>
      </c>
      <c r="Q91" s="19" t="s">
        <v>62</v>
      </c>
      <c r="R91" s="14" t="s">
        <v>408</v>
      </c>
      <c r="S91" s="12">
        <v>10</v>
      </c>
      <c r="T91" s="14" t="s">
        <v>409</v>
      </c>
      <c r="U91" s="14" t="s">
        <v>409</v>
      </c>
      <c r="V91" s="17" t="s">
        <v>410</v>
      </c>
    </row>
    <row r="92" spans="1:22" ht="34.200000000000003" x14ac:dyDescent="0.3">
      <c r="A92" s="12">
        <v>80</v>
      </c>
      <c r="B92" s="13" t="s">
        <v>411</v>
      </c>
      <c r="C92" s="12" t="s">
        <v>398</v>
      </c>
      <c r="D92" s="12" t="s">
        <v>33</v>
      </c>
      <c r="E92" s="14" t="s">
        <v>412</v>
      </c>
      <c r="F92" s="14" t="s">
        <v>413</v>
      </c>
      <c r="G92" s="14" t="s">
        <v>97</v>
      </c>
      <c r="H92" s="14" t="s">
        <v>86</v>
      </c>
      <c r="I92" s="14" t="s">
        <v>98</v>
      </c>
      <c r="J92" s="12" t="s">
        <v>414</v>
      </c>
      <c r="K92" s="12" t="s">
        <v>60</v>
      </c>
      <c r="L92" s="15" t="s">
        <v>37</v>
      </c>
      <c r="M92" s="15" t="s">
        <v>37</v>
      </c>
      <c r="N92" s="14"/>
      <c r="O92" s="14" t="s">
        <v>38</v>
      </c>
      <c r="P92" s="12" t="s">
        <v>34</v>
      </c>
      <c r="Q92" s="16" t="s">
        <v>39</v>
      </c>
      <c r="R92" s="14" t="s">
        <v>40</v>
      </c>
      <c r="S92" s="12">
        <v>0</v>
      </c>
      <c r="T92" s="14" t="s">
        <v>311</v>
      </c>
      <c r="U92" s="14" t="s">
        <v>415</v>
      </c>
      <c r="V92" s="17" t="s">
        <v>416</v>
      </c>
    </row>
    <row r="93" spans="1:22" ht="34.200000000000003" x14ac:dyDescent="0.3">
      <c r="A93" s="12">
        <v>81</v>
      </c>
      <c r="B93" s="13" t="s">
        <v>417</v>
      </c>
      <c r="C93" s="12" t="s">
        <v>398</v>
      </c>
      <c r="D93" s="12" t="s">
        <v>51</v>
      </c>
      <c r="E93" s="14" t="s">
        <v>418</v>
      </c>
      <c r="F93" s="14" t="s">
        <v>419</v>
      </c>
      <c r="G93" s="14" t="s">
        <v>57</v>
      </c>
      <c r="H93" s="14" t="s">
        <v>57</v>
      </c>
      <c r="I93" s="14" t="s">
        <v>87</v>
      </c>
      <c r="J93" s="12" t="s">
        <v>394</v>
      </c>
      <c r="K93" s="12" t="s">
        <v>60</v>
      </c>
      <c r="L93" s="18" t="s">
        <v>60</v>
      </c>
      <c r="M93" s="18" t="s">
        <v>60</v>
      </c>
      <c r="N93" s="14"/>
      <c r="O93" s="14" t="s">
        <v>61</v>
      </c>
      <c r="P93" s="12">
        <v>3</v>
      </c>
      <c r="Q93" s="19" t="s">
        <v>62</v>
      </c>
      <c r="R93" s="14" t="s">
        <v>40</v>
      </c>
      <c r="S93" s="12">
        <v>37</v>
      </c>
      <c r="T93" s="14" t="s">
        <v>91</v>
      </c>
      <c r="U93" s="14" t="s">
        <v>420</v>
      </c>
      <c r="V93" s="17" t="s">
        <v>421</v>
      </c>
    </row>
    <row r="94" spans="1:22" ht="22.8" x14ac:dyDescent="0.3">
      <c r="A94" s="12">
        <v>82</v>
      </c>
      <c r="B94" s="13" t="s">
        <v>422</v>
      </c>
      <c r="C94" s="12" t="s">
        <v>398</v>
      </c>
      <c r="D94" s="12" t="s">
        <v>51</v>
      </c>
      <c r="E94" s="14" t="s">
        <v>423</v>
      </c>
      <c r="F94" s="14" t="s">
        <v>424</v>
      </c>
      <c r="G94" s="14" t="s">
        <v>57</v>
      </c>
      <c r="H94" s="14" t="s">
        <v>57</v>
      </c>
      <c r="I94" s="14" t="s">
        <v>58</v>
      </c>
      <c r="J94" s="12" t="s">
        <v>59</v>
      </c>
      <c r="K94" s="12" t="s">
        <v>60</v>
      </c>
      <c r="L94" s="18" t="s">
        <v>60</v>
      </c>
      <c r="M94" s="18" t="s">
        <v>60</v>
      </c>
      <c r="N94" s="14"/>
      <c r="O94" s="14" t="s">
        <v>135</v>
      </c>
      <c r="P94" s="12">
        <v>9</v>
      </c>
      <c r="Q94" s="21" t="s">
        <v>136</v>
      </c>
      <c r="R94" s="14" t="s">
        <v>173</v>
      </c>
      <c r="S94" s="12">
        <v>51</v>
      </c>
      <c r="T94" s="14" t="s">
        <v>138</v>
      </c>
      <c r="U94" s="14" t="s">
        <v>425</v>
      </c>
      <c r="V94" s="17" t="s">
        <v>426</v>
      </c>
    </row>
    <row r="95" spans="1:22" ht="22.8" x14ac:dyDescent="0.3">
      <c r="A95" s="12">
        <v>83</v>
      </c>
      <c r="B95" s="13" t="s">
        <v>427</v>
      </c>
      <c r="C95" s="12" t="s">
        <v>398</v>
      </c>
      <c r="D95" s="12" t="s">
        <v>51</v>
      </c>
      <c r="E95" s="14" t="s">
        <v>428</v>
      </c>
      <c r="F95" s="14" t="s">
        <v>429</v>
      </c>
      <c r="G95" s="14" t="s">
        <v>97</v>
      </c>
      <c r="H95" s="14" t="s">
        <v>57</v>
      </c>
      <c r="I95" s="14" t="s">
        <v>98</v>
      </c>
      <c r="J95" s="12" t="s">
        <v>159</v>
      </c>
      <c r="K95" s="12" t="s">
        <v>60</v>
      </c>
      <c r="L95" s="18" t="s">
        <v>60</v>
      </c>
      <c r="M95" s="18" t="s">
        <v>60</v>
      </c>
      <c r="N95" s="14"/>
      <c r="O95" s="14" t="s">
        <v>135</v>
      </c>
      <c r="P95" s="12">
        <v>9</v>
      </c>
      <c r="Q95" s="21" t="s">
        <v>136</v>
      </c>
      <c r="R95" s="14" t="s">
        <v>430</v>
      </c>
      <c r="S95" s="12">
        <v>51</v>
      </c>
      <c r="T95" s="14" t="s">
        <v>138</v>
      </c>
      <c r="U95" s="14" t="s">
        <v>431</v>
      </c>
      <c r="V95" s="17" t="s">
        <v>432</v>
      </c>
    </row>
    <row r="96" spans="1:22" ht="34.200000000000003" x14ac:dyDescent="0.3">
      <c r="A96" s="12">
        <v>84</v>
      </c>
      <c r="B96" s="13" t="s">
        <v>433</v>
      </c>
      <c r="C96" s="12" t="s">
        <v>398</v>
      </c>
      <c r="D96" s="12" t="s">
        <v>75</v>
      </c>
      <c r="E96" s="14" t="s">
        <v>434</v>
      </c>
      <c r="F96" s="14" t="s">
        <v>435</v>
      </c>
      <c r="G96" s="14" t="s">
        <v>97</v>
      </c>
      <c r="H96" s="14" t="s">
        <v>57</v>
      </c>
      <c r="I96" s="14" t="s">
        <v>98</v>
      </c>
      <c r="J96" s="12" t="s">
        <v>251</v>
      </c>
      <c r="K96" s="12" t="s">
        <v>60</v>
      </c>
      <c r="L96" s="15" t="s">
        <v>37</v>
      </c>
      <c r="M96" s="15" t="s">
        <v>37</v>
      </c>
      <c r="N96" s="14"/>
      <c r="O96" s="14" t="s">
        <v>436</v>
      </c>
      <c r="P96" s="12">
        <v>10</v>
      </c>
      <c r="Q96" s="21" t="s">
        <v>136</v>
      </c>
      <c r="R96" s="14" t="s">
        <v>40</v>
      </c>
      <c r="S96" s="12">
        <v>6</v>
      </c>
      <c r="T96" s="14" t="s">
        <v>138</v>
      </c>
      <c r="U96" s="14" t="s">
        <v>437</v>
      </c>
      <c r="V96" s="17" t="s">
        <v>438</v>
      </c>
    </row>
    <row r="97" spans="1:22" ht="22.8" x14ac:dyDescent="0.3">
      <c r="A97" s="12">
        <v>85</v>
      </c>
      <c r="B97" s="13" t="s">
        <v>439</v>
      </c>
      <c r="C97" s="12" t="s">
        <v>398</v>
      </c>
      <c r="D97" s="12" t="s">
        <v>255</v>
      </c>
      <c r="E97" s="14" t="s">
        <v>440</v>
      </c>
      <c r="F97" s="14" t="s">
        <v>441</v>
      </c>
      <c r="G97" s="14" t="s">
        <v>57</v>
      </c>
      <c r="H97" s="14" t="s">
        <v>278</v>
      </c>
      <c r="I97" s="14" t="s">
        <v>87</v>
      </c>
      <c r="J97" s="12" t="s">
        <v>394</v>
      </c>
      <c r="K97" s="12" t="s">
        <v>60</v>
      </c>
      <c r="L97" s="22" t="s">
        <v>146</v>
      </c>
      <c r="M97" s="22" t="s">
        <v>146</v>
      </c>
      <c r="N97" s="14"/>
      <c r="O97" s="14" t="s">
        <v>442</v>
      </c>
      <c r="P97" s="12">
        <v>32</v>
      </c>
      <c r="Q97" s="24" t="s">
        <v>443</v>
      </c>
      <c r="R97" s="14" t="s">
        <v>40</v>
      </c>
      <c r="S97" s="12">
        <v>0</v>
      </c>
      <c r="T97" s="14" t="s">
        <v>138</v>
      </c>
      <c r="U97" s="14" t="s">
        <v>444</v>
      </c>
      <c r="V97" s="17" t="s">
        <v>445</v>
      </c>
    </row>
    <row r="98" spans="1:22" ht="22.8" x14ac:dyDescent="0.3">
      <c r="A98" s="12">
        <v>86</v>
      </c>
      <c r="B98" s="13" t="s">
        <v>446</v>
      </c>
      <c r="C98" s="12" t="s">
        <v>398</v>
      </c>
      <c r="D98" s="12" t="s">
        <v>82</v>
      </c>
      <c r="E98" s="14" t="s">
        <v>447</v>
      </c>
      <c r="F98" s="14" t="s">
        <v>192</v>
      </c>
      <c r="G98" s="14" t="s">
        <v>363</v>
      </c>
      <c r="H98" s="14" t="s">
        <v>86</v>
      </c>
      <c r="I98" s="14" t="s">
        <v>212</v>
      </c>
      <c r="J98" s="12" t="s">
        <v>258</v>
      </c>
      <c r="K98" s="12" t="s">
        <v>60</v>
      </c>
      <c r="L98" s="15" t="s">
        <v>37</v>
      </c>
      <c r="M98" s="15" t="s">
        <v>37</v>
      </c>
      <c r="N98" s="14"/>
      <c r="O98" s="14" t="s">
        <v>89</v>
      </c>
      <c r="P98" s="12">
        <v>1</v>
      </c>
      <c r="Q98" s="19" t="s">
        <v>62</v>
      </c>
      <c r="R98" s="14" t="s">
        <v>90</v>
      </c>
      <c r="S98" s="12">
        <v>13</v>
      </c>
      <c r="T98" s="14" t="s">
        <v>367</v>
      </c>
      <c r="U98" s="14" t="s">
        <v>448</v>
      </c>
      <c r="V98" s="17" t="s">
        <v>449</v>
      </c>
    </row>
    <row r="99" spans="1:22" x14ac:dyDescent="0.3">
      <c r="A99" s="12">
        <v>87</v>
      </c>
      <c r="B99" s="13" t="s">
        <v>450</v>
      </c>
      <c r="C99" s="12" t="s">
        <v>398</v>
      </c>
      <c r="D99" s="12" t="s">
        <v>451</v>
      </c>
      <c r="E99" s="14" t="s">
        <v>34</v>
      </c>
      <c r="F99" s="14" t="s">
        <v>34</v>
      </c>
      <c r="G99" s="14" t="s">
        <v>35</v>
      </c>
      <c r="H99" s="14" t="s">
        <v>35</v>
      </c>
      <c r="I99" s="14" t="s">
        <v>36</v>
      </c>
      <c r="J99" s="12" t="s">
        <v>34</v>
      </c>
      <c r="K99" s="12" t="s">
        <v>34</v>
      </c>
      <c r="L99" s="15" t="s">
        <v>37</v>
      </c>
      <c r="M99" s="15" t="s">
        <v>37</v>
      </c>
      <c r="N99" s="14"/>
      <c r="O99" s="14" t="s">
        <v>38</v>
      </c>
      <c r="P99" s="12" t="s">
        <v>34</v>
      </c>
      <c r="Q99" s="16" t="s">
        <v>39</v>
      </c>
      <c r="R99" s="14" t="s">
        <v>40</v>
      </c>
      <c r="S99" s="12">
        <v>0</v>
      </c>
      <c r="T99" s="14" t="s">
        <v>41</v>
      </c>
      <c r="U99" s="14" t="s">
        <v>41</v>
      </c>
      <c r="V99" s="17"/>
    </row>
    <row r="100" spans="1:22" ht="22.8" x14ac:dyDescent="0.3">
      <c r="A100" s="12">
        <v>88</v>
      </c>
      <c r="B100" s="13" t="s">
        <v>452</v>
      </c>
      <c r="C100" s="12" t="s">
        <v>398</v>
      </c>
      <c r="D100" s="12" t="s">
        <v>453</v>
      </c>
      <c r="E100" s="14" t="s">
        <v>454</v>
      </c>
      <c r="F100" s="14" t="s">
        <v>455</v>
      </c>
      <c r="G100" s="14" t="s">
        <v>57</v>
      </c>
      <c r="H100" s="14" t="s">
        <v>86</v>
      </c>
      <c r="I100" s="14" t="s">
        <v>186</v>
      </c>
      <c r="J100" s="12" t="s">
        <v>187</v>
      </c>
      <c r="K100" s="12" t="s">
        <v>60</v>
      </c>
      <c r="L100" s="15" t="s">
        <v>37</v>
      </c>
      <c r="M100" s="15" t="s">
        <v>37</v>
      </c>
      <c r="N100" s="14"/>
      <c r="O100" s="14" t="s">
        <v>456</v>
      </c>
      <c r="P100" s="12">
        <v>6</v>
      </c>
      <c r="Q100" s="21" t="s">
        <v>136</v>
      </c>
      <c r="R100" s="14" t="s">
        <v>457</v>
      </c>
      <c r="S100" s="12">
        <v>0</v>
      </c>
      <c r="T100" s="14" t="s">
        <v>367</v>
      </c>
      <c r="U100" s="14" t="s">
        <v>458</v>
      </c>
      <c r="V100" s="17" t="s">
        <v>459</v>
      </c>
    </row>
    <row r="101" spans="1:22" ht="34.200000000000003" x14ac:dyDescent="0.3">
      <c r="A101" s="12">
        <v>89</v>
      </c>
      <c r="B101" s="13" t="s">
        <v>452</v>
      </c>
      <c r="C101" s="12" t="s">
        <v>398</v>
      </c>
      <c r="D101" s="12" t="s">
        <v>460</v>
      </c>
      <c r="E101" s="14" t="s">
        <v>461</v>
      </c>
      <c r="F101" s="14" t="s">
        <v>462</v>
      </c>
      <c r="G101" s="14" t="s">
        <v>57</v>
      </c>
      <c r="H101" s="14" t="s">
        <v>86</v>
      </c>
      <c r="I101" s="14" t="s">
        <v>212</v>
      </c>
      <c r="J101" s="12" t="s">
        <v>258</v>
      </c>
      <c r="K101" s="12" t="s">
        <v>60</v>
      </c>
      <c r="L101" s="15" t="s">
        <v>37</v>
      </c>
      <c r="M101" s="15" t="s">
        <v>37</v>
      </c>
      <c r="N101" s="14"/>
      <c r="O101" s="14" t="s">
        <v>318</v>
      </c>
      <c r="P101" s="12">
        <v>12</v>
      </c>
      <c r="Q101" s="20" t="s">
        <v>101</v>
      </c>
      <c r="R101" s="14" t="s">
        <v>463</v>
      </c>
      <c r="S101" s="12">
        <v>17</v>
      </c>
      <c r="T101" s="14" t="s">
        <v>91</v>
      </c>
      <c r="U101" s="14" t="s">
        <v>464</v>
      </c>
      <c r="V101" s="17" t="s">
        <v>465</v>
      </c>
    </row>
    <row r="102" spans="1:22" ht="45.6" x14ac:dyDescent="0.3">
      <c r="A102" s="12">
        <v>90</v>
      </c>
      <c r="B102" s="13" t="s">
        <v>466</v>
      </c>
      <c r="C102" s="12" t="s">
        <v>398</v>
      </c>
      <c r="D102" s="12" t="s">
        <v>460</v>
      </c>
      <c r="E102" s="14" t="s">
        <v>467</v>
      </c>
      <c r="F102" s="14" t="s">
        <v>468</v>
      </c>
      <c r="G102" s="14" t="s">
        <v>363</v>
      </c>
      <c r="H102" s="14" t="s">
        <v>57</v>
      </c>
      <c r="I102" s="14" t="s">
        <v>87</v>
      </c>
      <c r="J102" s="12" t="s">
        <v>206</v>
      </c>
      <c r="K102" s="12" t="s">
        <v>60</v>
      </c>
      <c r="L102" s="15" t="s">
        <v>37</v>
      </c>
      <c r="M102" s="15" t="s">
        <v>37</v>
      </c>
      <c r="N102" s="14"/>
      <c r="O102" s="14" t="s">
        <v>61</v>
      </c>
      <c r="P102" s="12">
        <v>3</v>
      </c>
      <c r="Q102" s="19" t="s">
        <v>62</v>
      </c>
      <c r="R102" s="14" t="s">
        <v>260</v>
      </c>
      <c r="S102" s="12">
        <v>37</v>
      </c>
      <c r="T102" s="14" t="s">
        <v>64</v>
      </c>
      <c r="U102" s="14" t="s">
        <v>102</v>
      </c>
      <c r="V102" s="17" t="s">
        <v>469</v>
      </c>
    </row>
    <row r="103" spans="1:22" ht="22.8" x14ac:dyDescent="0.3">
      <c r="A103" s="12">
        <v>91</v>
      </c>
      <c r="B103" s="13" t="s">
        <v>470</v>
      </c>
      <c r="C103" s="12" t="s">
        <v>398</v>
      </c>
      <c r="D103" s="12" t="s">
        <v>471</v>
      </c>
      <c r="E103" s="14" t="s">
        <v>472</v>
      </c>
      <c r="F103" s="14" t="s">
        <v>473</v>
      </c>
      <c r="G103" s="14" t="s">
        <v>363</v>
      </c>
      <c r="H103" s="14" t="s">
        <v>268</v>
      </c>
      <c r="I103" s="14" t="s">
        <v>87</v>
      </c>
      <c r="J103" s="12" t="s">
        <v>474</v>
      </c>
      <c r="K103" s="12" t="s">
        <v>60</v>
      </c>
      <c r="L103" s="15" t="s">
        <v>37</v>
      </c>
      <c r="M103" s="15" t="s">
        <v>37</v>
      </c>
      <c r="N103" s="14"/>
      <c r="O103" s="14" t="s">
        <v>38</v>
      </c>
      <c r="P103" s="12" t="s">
        <v>34</v>
      </c>
      <c r="Q103" s="16" t="s">
        <v>39</v>
      </c>
      <c r="R103" s="14" t="s">
        <v>40</v>
      </c>
      <c r="S103" s="12">
        <v>0</v>
      </c>
      <c r="T103" s="14" t="s">
        <v>41</v>
      </c>
      <c r="U103" s="14" t="s">
        <v>41</v>
      </c>
      <c r="V103" s="17" t="s">
        <v>475</v>
      </c>
    </row>
    <row r="104" spans="1:22" ht="22.8" x14ac:dyDescent="0.3">
      <c r="A104" s="12">
        <v>92</v>
      </c>
      <c r="B104" s="13" t="s">
        <v>476</v>
      </c>
      <c r="C104" s="12" t="s">
        <v>398</v>
      </c>
      <c r="D104" s="12" t="s">
        <v>477</v>
      </c>
      <c r="E104" s="14" t="s">
        <v>478</v>
      </c>
      <c r="F104" s="14" t="s">
        <v>479</v>
      </c>
      <c r="G104" s="14" t="s">
        <v>363</v>
      </c>
      <c r="H104" s="14" t="s">
        <v>57</v>
      </c>
      <c r="I104" s="14" t="s">
        <v>87</v>
      </c>
      <c r="J104" s="12" t="s">
        <v>480</v>
      </c>
      <c r="K104" s="12" t="s">
        <v>60</v>
      </c>
      <c r="L104" s="18" t="s">
        <v>60</v>
      </c>
      <c r="M104" s="18" t="s">
        <v>60</v>
      </c>
      <c r="N104" s="14"/>
      <c r="O104" s="14" t="s">
        <v>61</v>
      </c>
      <c r="P104" s="12">
        <v>3</v>
      </c>
      <c r="Q104" s="19" t="s">
        <v>62</v>
      </c>
      <c r="R104" s="14" t="s">
        <v>40</v>
      </c>
      <c r="S104" s="12">
        <v>37</v>
      </c>
      <c r="T104" s="14" t="s">
        <v>41</v>
      </c>
      <c r="U104" s="14" t="s">
        <v>41</v>
      </c>
      <c r="V104" s="17" t="s">
        <v>481</v>
      </c>
    </row>
    <row r="105" spans="1:22" ht="45.6" x14ac:dyDescent="0.3">
      <c r="A105" s="12">
        <v>93</v>
      </c>
      <c r="B105" s="13" t="s">
        <v>482</v>
      </c>
      <c r="C105" s="12" t="s">
        <v>398</v>
      </c>
      <c r="D105" s="12" t="s">
        <v>483</v>
      </c>
      <c r="E105" s="14" t="s">
        <v>484</v>
      </c>
      <c r="F105" s="14" t="s">
        <v>485</v>
      </c>
      <c r="G105" s="14" t="s">
        <v>57</v>
      </c>
      <c r="H105" s="14" t="s">
        <v>86</v>
      </c>
      <c r="I105" s="14" t="s">
        <v>212</v>
      </c>
      <c r="J105" s="12" t="s">
        <v>258</v>
      </c>
      <c r="K105" s="12" t="s">
        <v>60</v>
      </c>
      <c r="L105" s="18" t="s">
        <v>60</v>
      </c>
      <c r="M105" s="18" t="s">
        <v>60</v>
      </c>
      <c r="N105" s="14"/>
      <c r="O105" s="14" t="s">
        <v>486</v>
      </c>
      <c r="P105" s="12">
        <v>5</v>
      </c>
      <c r="Q105" s="19" t="s">
        <v>62</v>
      </c>
      <c r="R105" s="14" t="s">
        <v>487</v>
      </c>
      <c r="S105" s="12">
        <v>31</v>
      </c>
      <c r="T105" s="14" t="s">
        <v>174</v>
      </c>
      <c r="U105" s="14" t="s">
        <v>488</v>
      </c>
      <c r="V105" s="17" t="s">
        <v>489</v>
      </c>
    </row>
    <row r="106" spans="1:22" ht="22.8" x14ac:dyDescent="0.3">
      <c r="A106" s="12">
        <v>94</v>
      </c>
      <c r="B106" s="13" t="s">
        <v>490</v>
      </c>
      <c r="C106" s="12" t="s">
        <v>398</v>
      </c>
      <c r="D106" s="12" t="s">
        <v>115</v>
      </c>
      <c r="E106" s="14" t="s">
        <v>491</v>
      </c>
      <c r="F106" s="14" t="s">
        <v>492</v>
      </c>
      <c r="G106" s="14" t="s">
        <v>152</v>
      </c>
      <c r="H106" s="14" t="s">
        <v>86</v>
      </c>
      <c r="I106" s="14" t="s">
        <v>98</v>
      </c>
      <c r="J106" s="12" t="s">
        <v>383</v>
      </c>
      <c r="K106" s="12" t="s">
        <v>60</v>
      </c>
      <c r="L106" s="18" t="s">
        <v>60</v>
      </c>
      <c r="M106" s="18" t="s">
        <v>60</v>
      </c>
      <c r="N106" s="14"/>
      <c r="O106" s="14" t="s">
        <v>38</v>
      </c>
      <c r="P106" s="12" t="s">
        <v>34</v>
      </c>
      <c r="Q106" s="16" t="s">
        <v>39</v>
      </c>
      <c r="R106" s="14" t="s">
        <v>493</v>
      </c>
      <c r="S106" s="12">
        <v>0</v>
      </c>
      <c r="T106" s="14" t="s">
        <v>41</v>
      </c>
      <c r="U106" s="14" t="s">
        <v>41</v>
      </c>
      <c r="V106" s="17" t="s">
        <v>494</v>
      </c>
    </row>
    <row r="107" spans="1:22" ht="22.8" x14ac:dyDescent="0.3">
      <c r="A107" s="12">
        <v>95</v>
      </c>
      <c r="B107" s="13" t="s">
        <v>495</v>
      </c>
      <c r="C107" s="12" t="s">
        <v>398</v>
      </c>
      <c r="D107" s="12" t="s">
        <v>496</v>
      </c>
      <c r="E107" s="14" t="s">
        <v>497</v>
      </c>
      <c r="F107" s="14" t="s">
        <v>498</v>
      </c>
      <c r="G107" s="14" t="s">
        <v>57</v>
      </c>
      <c r="H107" s="14" t="s">
        <v>57</v>
      </c>
      <c r="I107" s="14" t="s">
        <v>87</v>
      </c>
      <c r="J107" s="12" t="s">
        <v>394</v>
      </c>
      <c r="K107" s="12" t="s">
        <v>60</v>
      </c>
      <c r="L107" s="18" t="s">
        <v>60</v>
      </c>
      <c r="M107" s="18" t="s">
        <v>60</v>
      </c>
      <c r="N107" s="14"/>
      <c r="O107" s="14" t="s">
        <v>38</v>
      </c>
      <c r="P107" s="12" t="s">
        <v>34</v>
      </c>
      <c r="Q107" s="16" t="s">
        <v>39</v>
      </c>
      <c r="R107" s="14" t="s">
        <v>40</v>
      </c>
      <c r="S107" s="12">
        <v>0</v>
      </c>
      <c r="T107" s="14" t="s">
        <v>174</v>
      </c>
      <c r="U107" s="14" t="s">
        <v>499</v>
      </c>
      <c r="V107" s="17" t="s">
        <v>500</v>
      </c>
    </row>
    <row r="108" spans="1:22" x14ac:dyDescent="0.3">
      <c r="A108" s="12">
        <v>96</v>
      </c>
      <c r="B108" s="13" t="s">
        <v>501</v>
      </c>
      <c r="C108" s="12" t="s">
        <v>398</v>
      </c>
      <c r="D108" s="12" t="s">
        <v>120</v>
      </c>
      <c r="E108" s="14" t="s">
        <v>502</v>
      </c>
      <c r="F108" s="14" t="s">
        <v>503</v>
      </c>
      <c r="G108" s="14" t="s">
        <v>97</v>
      </c>
      <c r="H108" s="14" t="s">
        <v>268</v>
      </c>
      <c r="I108" s="14" t="s">
        <v>98</v>
      </c>
      <c r="J108" s="12" t="s">
        <v>159</v>
      </c>
      <c r="K108" s="12" t="s">
        <v>60</v>
      </c>
      <c r="L108" s="18" t="s">
        <v>60</v>
      </c>
      <c r="M108" s="18" t="s">
        <v>60</v>
      </c>
      <c r="N108" s="14"/>
      <c r="O108" s="14" t="s">
        <v>365</v>
      </c>
      <c r="P108" s="12">
        <v>7</v>
      </c>
      <c r="Q108" s="21" t="s">
        <v>136</v>
      </c>
      <c r="R108" s="14" t="s">
        <v>40</v>
      </c>
      <c r="S108" s="12">
        <v>14</v>
      </c>
      <c r="T108" s="14" t="s">
        <v>41</v>
      </c>
      <c r="U108" s="14" t="s">
        <v>41</v>
      </c>
      <c r="V108" s="17" t="s">
        <v>504</v>
      </c>
    </row>
    <row r="109" spans="1:22" ht="22.8" x14ac:dyDescent="0.3">
      <c r="A109" s="12">
        <v>97</v>
      </c>
      <c r="B109" s="13" t="s">
        <v>505</v>
      </c>
      <c r="C109" s="12" t="s">
        <v>398</v>
      </c>
      <c r="D109" s="12" t="s">
        <v>124</v>
      </c>
      <c r="E109" s="14" t="s">
        <v>506</v>
      </c>
      <c r="F109" s="14" t="s">
        <v>507</v>
      </c>
      <c r="G109" s="14" t="s">
        <v>278</v>
      </c>
      <c r="H109" s="14" t="s">
        <v>152</v>
      </c>
      <c r="I109" s="14" t="s">
        <v>58</v>
      </c>
      <c r="J109" s="12" t="s">
        <v>508</v>
      </c>
      <c r="K109" s="12" t="s">
        <v>60</v>
      </c>
      <c r="L109" s="22" t="s">
        <v>146</v>
      </c>
      <c r="M109" s="15" t="s">
        <v>37</v>
      </c>
      <c r="N109" s="14"/>
      <c r="O109" s="14" t="s">
        <v>456</v>
      </c>
      <c r="P109" s="12">
        <v>8</v>
      </c>
      <c r="Q109" s="21" t="s">
        <v>136</v>
      </c>
      <c r="R109" s="14" t="s">
        <v>509</v>
      </c>
      <c r="S109" s="12">
        <v>0</v>
      </c>
      <c r="T109" s="14" t="s">
        <v>138</v>
      </c>
      <c r="U109" s="14" t="s">
        <v>510</v>
      </c>
      <c r="V109" s="17" t="s">
        <v>511</v>
      </c>
    </row>
    <row r="110" spans="1:22" ht="22.8" x14ac:dyDescent="0.3">
      <c r="A110" s="12">
        <v>98</v>
      </c>
      <c r="B110" s="13" t="s">
        <v>512</v>
      </c>
      <c r="C110" s="12" t="s">
        <v>398</v>
      </c>
      <c r="D110" s="12" t="s">
        <v>513</v>
      </c>
      <c r="E110" s="14" t="s">
        <v>514</v>
      </c>
      <c r="F110" s="14" t="s">
        <v>515</v>
      </c>
      <c r="G110" s="14" t="s">
        <v>97</v>
      </c>
      <c r="H110" s="14" t="s">
        <v>86</v>
      </c>
      <c r="I110" s="14" t="s">
        <v>212</v>
      </c>
      <c r="J110" s="12" t="s">
        <v>258</v>
      </c>
      <c r="K110" s="12" t="s">
        <v>60</v>
      </c>
      <c r="L110" s="15" t="s">
        <v>37</v>
      </c>
      <c r="M110" s="15" t="s">
        <v>37</v>
      </c>
      <c r="N110" s="14"/>
      <c r="O110" s="14" t="s">
        <v>38</v>
      </c>
      <c r="P110" s="12" t="s">
        <v>34</v>
      </c>
      <c r="Q110" s="16" t="s">
        <v>39</v>
      </c>
      <c r="R110" s="14" t="s">
        <v>40</v>
      </c>
      <c r="S110" s="12">
        <v>0</v>
      </c>
      <c r="T110" s="14" t="s">
        <v>311</v>
      </c>
      <c r="U110" s="14" t="s">
        <v>311</v>
      </c>
      <c r="V110" s="17" t="s">
        <v>516</v>
      </c>
    </row>
    <row r="112" spans="1:22" x14ac:dyDescent="0.3">
      <c r="A112" s="10" t="s">
        <v>517</v>
      </c>
      <c r="B112" s="11"/>
      <c r="C112" s="11"/>
      <c r="D112" s="11"/>
      <c r="E112" s="11"/>
      <c r="F112" s="11"/>
      <c r="G112" s="11"/>
      <c r="H112" s="11"/>
      <c r="I112" s="11"/>
      <c r="J112" s="11"/>
      <c r="K112" s="11"/>
      <c r="L112" s="11"/>
      <c r="M112" s="11"/>
      <c r="N112" s="11"/>
      <c r="O112" s="11"/>
      <c r="P112" s="11"/>
      <c r="Q112" s="11"/>
      <c r="R112" s="11"/>
      <c r="S112" s="11"/>
      <c r="T112" s="11"/>
      <c r="U112" s="11"/>
      <c r="V112" s="11"/>
    </row>
    <row r="113" spans="1:22" ht="34.200000000000003" x14ac:dyDescent="0.3">
      <c r="A113" s="12">
        <v>99</v>
      </c>
      <c r="B113" s="13" t="s">
        <v>518</v>
      </c>
      <c r="C113" s="12" t="s">
        <v>519</v>
      </c>
      <c r="D113" s="12" t="s">
        <v>33</v>
      </c>
      <c r="E113" s="14" t="s">
        <v>520</v>
      </c>
      <c r="F113" s="14" t="s">
        <v>521</v>
      </c>
      <c r="G113" s="14" t="s">
        <v>57</v>
      </c>
      <c r="H113" s="14" t="s">
        <v>57</v>
      </c>
      <c r="I113" s="14" t="s">
        <v>98</v>
      </c>
      <c r="J113" s="12" t="s">
        <v>522</v>
      </c>
      <c r="K113" s="12" t="s">
        <v>60</v>
      </c>
      <c r="L113" s="18" t="s">
        <v>60</v>
      </c>
      <c r="M113" s="22" t="s">
        <v>146</v>
      </c>
      <c r="N113" s="14"/>
      <c r="O113" s="14" t="s">
        <v>153</v>
      </c>
      <c r="P113" s="12">
        <v>6</v>
      </c>
      <c r="Q113" s="21" t="s">
        <v>136</v>
      </c>
      <c r="R113" s="14" t="s">
        <v>40</v>
      </c>
      <c r="S113" s="12">
        <v>22</v>
      </c>
      <c r="T113" s="14" t="s">
        <v>138</v>
      </c>
      <c r="U113" s="14" t="s">
        <v>523</v>
      </c>
      <c r="V113" s="17" t="s">
        <v>524</v>
      </c>
    </row>
    <row r="114" spans="1:22" ht="34.200000000000003" x14ac:dyDescent="0.3">
      <c r="A114" s="12">
        <v>100</v>
      </c>
      <c r="B114" s="13" t="s">
        <v>525</v>
      </c>
      <c r="C114" s="12" t="s">
        <v>519</v>
      </c>
      <c r="D114" s="12" t="s">
        <v>33</v>
      </c>
      <c r="E114" s="14" t="s">
        <v>526</v>
      </c>
      <c r="F114" s="14" t="s">
        <v>527</v>
      </c>
      <c r="G114" s="14" t="s">
        <v>165</v>
      </c>
      <c r="H114" s="14" t="s">
        <v>57</v>
      </c>
      <c r="I114" s="14" t="s">
        <v>98</v>
      </c>
      <c r="J114" s="12" t="s">
        <v>528</v>
      </c>
      <c r="K114" s="12" t="s">
        <v>60</v>
      </c>
      <c r="L114" s="15" t="s">
        <v>37</v>
      </c>
      <c r="M114" s="15" t="s">
        <v>37</v>
      </c>
      <c r="N114" s="14"/>
      <c r="O114" s="14" t="s">
        <v>153</v>
      </c>
      <c r="P114" s="12">
        <v>6</v>
      </c>
      <c r="Q114" s="21" t="s">
        <v>136</v>
      </c>
      <c r="R114" s="14" t="s">
        <v>40</v>
      </c>
      <c r="S114" s="12">
        <v>22</v>
      </c>
      <c r="T114" s="14" t="s">
        <v>64</v>
      </c>
      <c r="U114" s="14" t="s">
        <v>529</v>
      </c>
      <c r="V114" s="17" t="s">
        <v>530</v>
      </c>
    </row>
    <row r="115" spans="1:22" ht="45.6" x14ac:dyDescent="0.3">
      <c r="A115" s="12">
        <v>101</v>
      </c>
      <c r="B115" s="13" t="s">
        <v>531</v>
      </c>
      <c r="C115" s="12" t="s">
        <v>519</v>
      </c>
      <c r="D115" s="12" t="s">
        <v>33</v>
      </c>
      <c r="E115" s="14" t="s">
        <v>532</v>
      </c>
      <c r="F115" s="14" t="s">
        <v>413</v>
      </c>
      <c r="G115" s="14" t="s">
        <v>363</v>
      </c>
      <c r="H115" s="14" t="s">
        <v>86</v>
      </c>
      <c r="I115" s="14" t="s">
        <v>98</v>
      </c>
      <c r="J115" s="12" t="s">
        <v>383</v>
      </c>
      <c r="K115" s="12" t="s">
        <v>60</v>
      </c>
      <c r="L115" s="18" t="s">
        <v>60</v>
      </c>
      <c r="M115" s="18" t="s">
        <v>60</v>
      </c>
      <c r="N115" s="14"/>
      <c r="O115" s="14" t="s">
        <v>486</v>
      </c>
      <c r="P115" s="12">
        <v>5</v>
      </c>
      <c r="Q115" s="19" t="s">
        <v>62</v>
      </c>
      <c r="R115" s="14" t="s">
        <v>533</v>
      </c>
      <c r="S115" s="12">
        <v>31</v>
      </c>
      <c r="T115" s="14" t="s">
        <v>174</v>
      </c>
      <c r="U115" s="14" t="s">
        <v>534</v>
      </c>
      <c r="V115" s="17" t="s">
        <v>535</v>
      </c>
    </row>
    <row r="116" spans="1:22" ht="45.6" x14ac:dyDescent="0.3">
      <c r="A116" s="12">
        <v>102</v>
      </c>
      <c r="B116" s="13" t="s">
        <v>536</v>
      </c>
      <c r="C116" s="12" t="s">
        <v>519</v>
      </c>
      <c r="D116" s="12" t="s">
        <v>33</v>
      </c>
      <c r="E116" s="14" t="s">
        <v>532</v>
      </c>
      <c r="F116" s="14" t="s">
        <v>413</v>
      </c>
      <c r="G116" s="14" t="s">
        <v>363</v>
      </c>
      <c r="H116" s="14" t="s">
        <v>86</v>
      </c>
      <c r="I116" s="14" t="s">
        <v>98</v>
      </c>
      <c r="J116" s="12" t="s">
        <v>383</v>
      </c>
      <c r="K116" s="12" t="s">
        <v>60</v>
      </c>
      <c r="L116" s="18" t="s">
        <v>60</v>
      </c>
      <c r="M116" s="18" t="s">
        <v>60</v>
      </c>
      <c r="N116" s="14"/>
      <c r="O116" s="14" t="s">
        <v>486</v>
      </c>
      <c r="P116" s="12">
        <v>5</v>
      </c>
      <c r="Q116" s="19" t="s">
        <v>62</v>
      </c>
      <c r="R116" s="14" t="s">
        <v>533</v>
      </c>
      <c r="S116" s="12">
        <v>31</v>
      </c>
      <c r="T116" s="14" t="s">
        <v>174</v>
      </c>
      <c r="U116" s="14" t="s">
        <v>534</v>
      </c>
      <c r="V116" s="17" t="s">
        <v>535</v>
      </c>
    </row>
    <row r="117" spans="1:22" ht="22.8" x14ac:dyDescent="0.3">
      <c r="A117" s="12">
        <v>103</v>
      </c>
      <c r="B117" s="13" t="s">
        <v>537</v>
      </c>
      <c r="C117" s="12" t="s">
        <v>519</v>
      </c>
      <c r="D117" s="12" t="s">
        <v>33</v>
      </c>
      <c r="E117" s="14" t="s">
        <v>538</v>
      </c>
      <c r="F117" s="14" t="s">
        <v>298</v>
      </c>
      <c r="G117" s="14" t="s">
        <v>57</v>
      </c>
      <c r="H117" s="14" t="s">
        <v>86</v>
      </c>
      <c r="I117" s="14" t="s">
        <v>87</v>
      </c>
      <c r="J117" s="12" t="s">
        <v>539</v>
      </c>
      <c r="K117" s="12" t="s">
        <v>60</v>
      </c>
      <c r="L117" s="15" t="s">
        <v>37</v>
      </c>
      <c r="M117" s="15" t="s">
        <v>37</v>
      </c>
      <c r="N117" s="14"/>
      <c r="O117" s="14" t="s">
        <v>153</v>
      </c>
      <c r="P117" s="12">
        <v>6</v>
      </c>
      <c r="Q117" s="21" t="s">
        <v>136</v>
      </c>
      <c r="R117" s="14" t="s">
        <v>154</v>
      </c>
      <c r="S117" s="12">
        <v>22</v>
      </c>
      <c r="T117" s="14" t="s">
        <v>138</v>
      </c>
      <c r="U117" s="14" t="s">
        <v>540</v>
      </c>
      <c r="V117" s="17" t="s">
        <v>541</v>
      </c>
    </row>
    <row r="118" spans="1:22" ht="34.200000000000003" x14ac:dyDescent="0.3">
      <c r="A118" s="12">
        <v>104</v>
      </c>
      <c r="B118" s="13" t="s">
        <v>542</v>
      </c>
      <c r="C118" s="12" t="s">
        <v>519</v>
      </c>
      <c r="D118" s="12" t="s">
        <v>33</v>
      </c>
      <c r="E118" s="14" t="s">
        <v>543</v>
      </c>
      <c r="F118" s="14" t="s">
        <v>544</v>
      </c>
      <c r="G118" s="14" t="s">
        <v>57</v>
      </c>
      <c r="H118" s="14" t="s">
        <v>86</v>
      </c>
      <c r="I118" s="14" t="s">
        <v>212</v>
      </c>
      <c r="J118" s="12" t="s">
        <v>258</v>
      </c>
      <c r="K118" s="12" t="s">
        <v>60</v>
      </c>
      <c r="L118" s="18" t="s">
        <v>60</v>
      </c>
      <c r="M118" s="18" t="s">
        <v>60</v>
      </c>
      <c r="N118" s="14"/>
      <c r="O118" s="14" t="s">
        <v>259</v>
      </c>
      <c r="P118" s="12">
        <v>4</v>
      </c>
      <c r="Q118" s="19" t="s">
        <v>62</v>
      </c>
      <c r="R118" s="14" t="s">
        <v>40</v>
      </c>
      <c r="S118" s="12">
        <v>10</v>
      </c>
      <c r="T118" s="14" t="s">
        <v>138</v>
      </c>
      <c r="U118" s="14" t="s">
        <v>545</v>
      </c>
      <c r="V118" s="17" t="s">
        <v>546</v>
      </c>
    </row>
    <row r="119" spans="1:22" ht="34.200000000000003" x14ac:dyDescent="0.3">
      <c r="A119" s="12">
        <v>105</v>
      </c>
      <c r="B119" s="13" t="s">
        <v>547</v>
      </c>
      <c r="C119" s="12" t="s">
        <v>519</v>
      </c>
      <c r="D119" s="12" t="s">
        <v>33</v>
      </c>
      <c r="E119" s="14" t="s">
        <v>548</v>
      </c>
      <c r="F119" s="14" t="s">
        <v>549</v>
      </c>
      <c r="G119" s="14" t="s">
        <v>97</v>
      </c>
      <c r="H119" s="14" t="s">
        <v>86</v>
      </c>
      <c r="I119" s="14" t="s">
        <v>212</v>
      </c>
      <c r="J119" s="12" t="s">
        <v>258</v>
      </c>
      <c r="K119" s="12" t="s">
        <v>60</v>
      </c>
      <c r="L119" s="15" t="s">
        <v>37</v>
      </c>
      <c r="M119" s="15" t="s">
        <v>37</v>
      </c>
      <c r="N119" s="14"/>
      <c r="O119" s="14" t="s">
        <v>486</v>
      </c>
      <c r="P119" s="12">
        <v>5</v>
      </c>
      <c r="Q119" s="19" t="s">
        <v>62</v>
      </c>
      <c r="R119" s="14" t="s">
        <v>487</v>
      </c>
      <c r="S119" s="12">
        <v>31</v>
      </c>
      <c r="T119" s="14" t="s">
        <v>138</v>
      </c>
      <c r="U119" s="14" t="s">
        <v>550</v>
      </c>
      <c r="V119" s="17" t="s">
        <v>551</v>
      </c>
    </row>
    <row r="120" spans="1:22" ht="34.200000000000003" x14ac:dyDescent="0.3">
      <c r="A120" s="12">
        <v>106</v>
      </c>
      <c r="B120" s="13" t="s">
        <v>552</v>
      </c>
      <c r="C120" s="12" t="s">
        <v>519</v>
      </c>
      <c r="D120" s="12" t="s">
        <v>49</v>
      </c>
      <c r="E120" s="14" t="s">
        <v>553</v>
      </c>
      <c r="F120" s="14" t="s">
        <v>554</v>
      </c>
      <c r="G120" s="14" t="s">
        <v>57</v>
      </c>
      <c r="H120" s="14" t="s">
        <v>85</v>
      </c>
      <c r="I120" s="14" t="s">
        <v>98</v>
      </c>
      <c r="J120" s="12" t="s">
        <v>555</v>
      </c>
      <c r="K120" s="12" t="s">
        <v>60</v>
      </c>
      <c r="L120" s="15" t="s">
        <v>37</v>
      </c>
      <c r="M120" s="15" t="s">
        <v>37</v>
      </c>
      <c r="N120" s="14"/>
      <c r="O120" s="14" t="s">
        <v>556</v>
      </c>
      <c r="P120" s="12">
        <v>9</v>
      </c>
      <c r="Q120" s="21" t="s">
        <v>136</v>
      </c>
      <c r="R120" s="14" t="s">
        <v>40</v>
      </c>
      <c r="S120" s="12">
        <v>10</v>
      </c>
      <c r="T120" s="14" t="s">
        <v>64</v>
      </c>
      <c r="U120" s="14" t="s">
        <v>333</v>
      </c>
      <c r="V120" s="17" t="s">
        <v>557</v>
      </c>
    </row>
    <row r="121" spans="1:22" ht="22.8" x14ac:dyDescent="0.3">
      <c r="A121" s="12">
        <v>107</v>
      </c>
      <c r="B121" s="13" t="s">
        <v>558</v>
      </c>
      <c r="C121" s="12" t="s">
        <v>519</v>
      </c>
      <c r="D121" s="12" t="s">
        <v>49</v>
      </c>
      <c r="E121" s="14" t="s">
        <v>559</v>
      </c>
      <c r="F121" s="14" t="s">
        <v>192</v>
      </c>
      <c r="G121" s="14" t="s">
        <v>97</v>
      </c>
      <c r="H121" s="14" t="s">
        <v>86</v>
      </c>
      <c r="I121" s="14" t="s">
        <v>87</v>
      </c>
      <c r="J121" s="12" t="s">
        <v>539</v>
      </c>
      <c r="K121" s="12" t="s">
        <v>60</v>
      </c>
      <c r="L121" s="15" t="s">
        <v>37</v>
      </c>
      <c r="M121" s="15" t="s">
        <v>37</v>
      </c>
      <c r="N121" s="14"/>
      <c r="O121" s="14" t="s">
        <v>38</v>
      </c>
      <c r="P121" s="12" t="s">
        <v>34</v>
      </c>
      <c r="Q121" s="16" t="s">
        <v>39</v>
      </c>
      <c r="R121" s="14" t="s">
        <v>40</v>
      </c>
      <c r="S121" s="12">
        <v>0</v>
      </c>
      <c r="T121" s="14" t="s">
        <v>200</v>
      </c>
      <c r="U121" s="14" t="s">
        <v>200</v>
      </c>
      <c r="V121" s="17" t="s">
        <v>560</v>
      </c>
    </row>
    <row r="122" spans="1:22" ht="34.200000000000003" x14ac:dyDescent="0.3">
      <c r="A122" s="12">
        <v>108</v>
      </c>
      <c r="B122" s="13" t="s">
        <v>561</v>
      </c>
      <c r="C122" s="12" t="s">
        <v>519</v>
      </c>
      <c r="D122" s="12" t="s">
        <v>49</v>
      </c>
      <c r="E122" s="14" t="s">
        <v>562</v>
      </c>
      <c r="F122" s="14" t="s">
        <v>563</v>
      </c>
      <c r="G122" s="14" t="s">
        <v>57</v>
      </c>
      <c r="H122" s="14" t="s">
        <v>278</v>
      </c>
      <c r="I122" s="14" t="s">
        <v>212</v>
      </c>
      <c r="J122" s="12" t="s">
        <v>564</v>
      </c>
      <c r="K122" s="12" t="s">
        <v>60</v>
      </c>
      <c r="L122" s="22" t="s">
        <v>146</v>
      </c>
      <c r="M122" s="15" t="s">
        <v>37</v>
      </c>
      <c r="N122" s="14"/>
      <c r="O122" s="14" t="s">
        <v>153</v>
      </c>
      <c r="P122" s="12">
        <v>6</v>
      </c>
      <c r="Q122" s="21" t="s">
        <v>136</v>
      </c>
      <c r="R122" s="14" t="s">
        <v>565</v>
      </c>
      <c r="S122" s="12">
        <v>22</v>
      </c>
      <c r="T122" s="14" t="s">
        <v>91</v>
      </c>
      <c r="U122" s="14" t="s">
        <v>194</v>
      </c>
      <c r="V122" s="17" t="s">
        <v>566</v>
      </c>
    </row>
    <row r="123" spans="1:22" ht="22.8" x14ac:dyDescent="0.3">
      <c r="A123" s="12">
        <v>109</v>
      </c>
      <c r="B123" s="13" t="s">
        <v>567</v>
      </c>
      <c r="C123" s="12" t="s">
        <v>519</v>
      </c>
      <c r="D123" s="12" t="s">
        <v>49</v>
      </c>
      <c r="E123" s="14" t="s">
        <v>568</v>
      </c>
      <c r="F123" s="14" t="s">
        <v>569</v>
      </c>
      <c r="G123" s="14" t="s">
        <v>85</v>
      </c>
      <c r="H123" s="14" t="s">
        <v>86</v>
      </c>
      <c r="I123" s="14" t="s">
        <v>87</v>
      </c>
      <c r="J123" s="12" t="s">
        <v>88</v>
      </c>
      <c r="K123" s="12" t="s">
        <v>60</v>
      </c>
      <c r="L123" s="22" t="s">
        <v>146</v>
      </c>
      <c r="M123" s="15" t="s">
        <v>37</v>
      </c>
      <c r="N123" s="14"/>
      <c r="O123" s="14" t="s">
        <v>259</v>
      </c>
      <c r="P123" s="12">
        <v>4</v>
      </c>
      <c r="Q123" s="19" t="s">
        <v>62</v>
      </c>
      <c r="R123" s="14" t="s">
        <v>260</v>
      </c>
      <c r="S123" s="12">
        <v>10</v>
      </c>
      <c r="T123" s="14" t="s">
        <v>167</v>
      </c>
      <c r="U123" s="14" t="s">
        <v>167</v>
      </c>
      <c r="V123" s="17" t="s">
        <v>570</v>
      </c>
    </row>
    <row r="124" spans="1:22" ht="22.8" x14ac:dyDescent="0.3">
      <c r="A124" s="12">
        <v>110</v>
      </c>
      <c r="B124" s="13" t="s">
        <v>571</v>
      </c>
      <c r="C124" s="12" t="s">
        <v>519</v>
      </c>
      <c r="D124" s="12" t="s">
        <v>49</v>
      </c>
      <c r="E124" s="14" t="s">
        <v>572</v>
      </c>
      <c r="F124" s="14" t="s">
        <v>573</v>
      </c>
      <c r="G124" s="14" t="s">
        <v>57</v>
      </c>
      <c r="H124" s="14" t="s">
        <v>86</v>
      </c>
      <c r="I124" s="14" t="s">
        <v>87</v>
      </c>
      <c r="J124" s="12" t="s">
        <v>574</v>
      </c>
      <c r="K124" s="12" t="s">
        <v>60</v>
      </c>
      <c r="L124" s="15" t="s">
        <v>37</v>
      </c>
      <c r="M124" s="15" t="s">
        <v>37</v>
      </c>
      <c r="N124" s="14"/>
      <c r="O124" s="14" t="s">
        <v>61</v>
      </c>
      <c r="P124" s="12">
        <v>3</v>
      </c>
      <c r="Q124" s="19" t="s">
        <v>62</v>
      </c>
      <c r="R124" s="14" t="s">
        <v>40</v>
      </c>
      <c r="S124" s="12">
        <v>37</v>
      </c>
      <c r="T124" s="14" t="s">
        <v>91</v>
      </c>
      <c r="U124" s="14" t="s">
        <v>91</v>
      </c>
      <c r="V124" s="17" t="s">
        <v>575</v>
      </c>
    </row>
    <row r="125" spans="1:22" ht="45.6" x14ac:dyDescent="0.3">
      <c r="A125" s="12">
        <v>111</v>
      </c>
      <c r="B125" s="13" t="s">
        <v>576</v>
      </c>
      <c r="C125" s="12" t="s">
        <v>519</v>
      </c>
      <c r="D125" s="12" t="s">
        <v>49</v>
      </c>
      <c r="E125" s="14" t="s">
        <v>577</v>
      </c>
      <c r="F125" s="14" t="s">
        <v>577</v>
      </c>
      <c r="G125" s="14" t="s">
        <v>57</v>
      </c>
      <c r="H125" s="14" t="s">
        <v>57</v>
      </c>
      <c r="I125" s="14" t="s">
        <v>98</v>
      </c>
      <c r="J125" s="12" t="s">
        <v>159</v>
      </c>
      <c r="K125" s="12" t="s">
        <v>60</v>
      </c>
      <c r="L125" s="15" t="s">
        <v>37</v>
      </c>
      <c r="M125" s="15" t="s">
        <v>37</v>
      </c>
      <c r="N125" s="14"/>
      <c r="O125" s="14" t="s">
        <v>89</v>
      </c>
      <c r="P125" s="12">
        <v>1</v>
      </c>
      <c r="Q125" s="19" t="s">
        <v>62</v>
      </c>
      <c r="R125" s="14" t="s">
        <v>90</v>
      </c>
      <c r="S125" s="12">
        <v>13</v>
      </c>
      <c r="T125" s="14" t="s">
        <v>138</v>
      </c>
      <c r="U125" s="14" t="s">
        <v>578</v>
      </c>
      <c r="V125" s="17" t="s">
        <v>579</v>
      </c>
    </row>
    <row r="126" spans="1:22" ht="34.200000000000003" x14ac:dyDescent="0.3">
      <c r="A126" s="12">
        <v>112</v>
      </c>
      <c r="B126" s="13" t="s">
        <v>580</v>
      </c>
      <c r="C126" s="12" t="s">
        <v>519</v>
      </c>
      <c r="D126" s="12" t="s">
        <v>51</v>
      </c>
      <c r="E126" s="14" t="s">
        <v>581</v>
      </c>
      <c r="F126" s="14" t="s">
        <v>582</v>
      </c>
      <c r="G126" s="14" t="s">
        <v>363</v>
      </c>
      <c r="H126" s="14" t="s">
        <v>97</v>
      </c>
      <c r="I126" s="14" t="s">
        <v>87</v>
      </c>
      <c r="J126" s="12" t="s">
        <v>480</v>
      </c>
      <c r="K126" s="12" t="s">
        <v>60</v>
      </c>
      <c r="L126" s="18" t="s">
        <v>60</v>
      </c>
      <c r="M126" s="18" t="s">
        <v>60</v>
      </c>
      <c r="N126" s="14"/>
      <c r="O126" s="14" t="s">
        <v>583</v>
      </c>
      <c r="P126" s="12">
        <v>5</v>
      </c>
      <c r="Q126" s="19" t="s">
        <v>62</v>
      </c>
      <c r="R126" s="14" t="s">
        <v>584</v>
      </c>
      <c r="S126" s="12">
        <v>15</v>
      </c>
      <c r="T126" s="14" t="s">
        <v>200</v>
      </c>
      <c r="U126" s="14" t="s">
        <v>200</v>
      </c>
      <c r="V126" s="17" t="s">
        <v>585</v>
      </c>
    </row>
    <row r="127" spans="1:22" ht="45.6" x14ac:dyDescent="0.3">
      <c r="A127" s="12">
        <v>113</v>
      </c>
      <c r="B127" s="13" t="s">
        <v>586</v>
      </c>
      <c r="C127" s="12" t="s">
        <v>519</v>
      </c>
      <c r="D127" s="12" t="s">
        <v>70</v>
      </c>
      <c r="E127" s="14" t="s">
        <v>587</v>
      </c>
      <c r="F127" s="14" t="s">
        <v>588</v>
      </c>
      <c r="G127" s="14" t="s">
        <v>165</v>
      </c>
      <c r="H127" s="14" t="s">
        <v>57</v>
      </c>
      <c r="I127" s="14" t="s">
        <v>98</v>
      </c>
      <c r="J127" s="12" t="s">
        <v>310</v>
      </c>
      <c r="K127" s="12" t="s">
        <v>60</v>
      </c>
      <c r="L127" s="15" t="s">
        <v>37</v>
      </c>
      <c r="M127" s="15" t="s">
        <v>37</v>
      </c>
      <c r="N127" s="14"/>
      <c r="O127" s="14" t="s">
        <v>89</v>
      </c>
      <c r="P127" s="12">
        <v>1</v>
      </c>
      <c r="Q127" s="19" t="s">
        <v>62</v>
      </c>
      <c r="R127" s="14" t="s">
        <v>90</v>
      </c>
      <c r="S127" s="12">
        <v>13</v>
      </c>
      <c r="T127" s="14" t="s">
        <v>138</v>
      </c>
      <c r="U127" s="14" t="s">
        <v>589</v>
      </c>
      <c r="V127" s="17" t="s">
        <v>590</v>
      </c>
    </row>
    <row r="128" spans="1:22" x14ac:dyDescent="0.3">
      <c r="A128" s="12">
        <v>114</v>
      </c>
      <c r="B128" s="13" t="s">
        <v>591</v>
      </c>
      <c r="C128" s="12" t="s">
        <v>519</v>
      </c>
      <c r="D128" s="12" t="s">
        <v>70</v>
      </c>
      <c r="E128" s="14" t="s">
        <v>34</v>
      </c>
      <c r="F128" s="14" t="s">
        <v>34</v>
      </c>
      <c r="G128" s="14" t="s">
        <v>35</v>
      </c>
      <c r="H128" s="14" t="s">
        <v>35</v>
      </c>
      <c r="I128" s="14" t="s">
        <v>36</v>
      </c>
      <c r="J128" s="12" t="s">
        <v>34</v>
      </c>
      <c r="K128" s="12" t="s">
        <v>34</v>
      </c>
      <c r="L128" s="15" t="s">
        <v>37</v>
      </c>
      <c r="M128" s="15" t="s">
        <v>37</v>
      </c>
      <c r="N128" s="14"/>
      <c r="O128" s="14" t="s">
        <v>38</v>
      </c>
      <c r="P128" s="12" t="s">
        <v>34</v>
      </c>
      <c r="Q128" s="16" t="s">
        <v>39</v>
      </c>
      <c r="R128" s="14" t="s">
        <v>40</v>
      </c>
      <c r="S128" s="12">
        <v>0</v>
      </c>
      <c r="T128" s="14" t="s">
        <v>41</v>
      </c>
      <c r="U128" s="14" t="s">
        <v>41</v>
      </c>
      <c r="V128" s="17"/>
    </row>
    <row r="129" spans="1:22" ht="22.8" x14ac:dyDescent="0.3">
      <c r="A129" s="12">
        <v>115</v>
      </c>
      <c r="B129" s="13" t="s">
        <v>558</v>
      </c>
      <c r="C129" s="12" t="s">
        <v>519</v>
      </c>
      <c r="D129" s="12" t="s">
        <v>224</v>
      </c>
      <c r="E129" s="14" t="s">
        <v>592</v>
      </c>
      <c r="F129" s="14" t="s">
        <v>593</v>
      </c>
      <c r="G129" s="14" t="s">
        <v>97</v>
      </c>
      <c r="H129" s="14" t="s">
        <v>86</v>
      </c>
      <c r="I129" s="14" t="s">
        <v>212</v>
      </c>
      <c r="J129" s="12" t="s">
        <v>258</v>
      </c>
      <c r="K129" s="12" t="s">
        <v>60</v>
      </c>
      <c r="L129" s="15" t="s">
        <v>37</v>
      </c>
      <c r="M129" s="15" t="s">
        <v>37</v>
      </c>
      <c r="N129" s="14"/>
      <c r="O129" s="14" t="s">
        <v>456</v>
      </c>
      <c r="P129" s="12">
        <v>3</v>
      </c>
      <c r="Q129" s="19" t="s">
        <v>62</v>
      </c>
      <c r="R129" s="14" t="s">
        <v>594</v>
      </c>
      <c r="S129" s="12">
        <v>0</v>
      </c>
      <c r="T129" s="14" t="s">
        <v>311</v>
      </c>
      <c r="U129" s="14" t="s">
        <v>595</v>
      </c>
      <c r="V129" s="17" t="s">
        <v>596</v>
      </c>
    </row>
    <row r="130" spans="1:22" ht="34.200000000000003" x14ac:dyDescent="0.3">
      <c r="A130" s="12">
        <v>116</v>
      </c>
      <c r="B130" s="13" t="s">
        <v>597</v>
      </c>
      <c r="C130" s="12" t="s">
        <v>519</v>
      </c>
      <c r="D130" s="12" t="s">
        <v>224</v>
      </c>
      <c r="E130" s="14" t="s">
        <v>598</v>
      </c>
      <c r="F130" s="14" t="s">
        <v>599</v>
      </c>
      <c r="G130" s="14" t="s">
        <v>165</v>
      </c>
      <c r="H130" s="14" t="s">
        <v>152</v>
      </c>
      <c r="I130" s="14" t="s">
        <v>87</v>
      </c>
      <c r="J130" s="12" t="s">
        <v>269</v>
      </c>
      <c r="K130" s="12" t="s">
        <v>60</v>
      </c>
      <c r="L130" s="15" t="s">
        <v>37</v>
      </c>
      <c r="M130" s="15" t="s">
        <v>37</v>
      </c>
      <c r="N130" s="14"/>
      <c r="O130" s="14" t="s">
        <v>600</v>
      </c>
      <c r="P130" s="12">
        <v>9</v>
      </c>
      <c r="Q130" s="21" t="s">
        <v>136</v>
      </c>
      <c r="R130" s="14" t="s">
        <v>40</v>
      </c>
      <c r="S130" s="12">
        <v>1</v>
      </c>
      <c r="T130" s="14" t="s">
        <v>138</v>
      </c>
      <c r="U130" s="14" t="s">
        <v>601</v>
      </c>
      <c r="V130" s="17" t="s">
        <v>602</v>
      </c>
    </row>
    <row r="131" spans="1:22" ht="22.8" x14ac:dyDescent="0.3">
      <c r="A131" s="12">
        <v>117</v>
      </c>
      <c r="B131" s="13" t="s">
        <v>591</v>
      </c>
      <c r="C131" s="12" t="s">
        <v>519</v>
      </c>
      <c r="D131" s="12" t="s">
        <v>224</v>
      </c>
      <c r="E131" s="14" t="s">
        <v>603</v>
      </c>
      <c r="F131" s="14" t="s">
        <v>604</v>
      </c>
      <c r="G131" s="14" t="s">
        <v>57</v>
      </c>
      <c r="H131" s="14" t="s">
        <v>57</v>
      </c>
      <c r="I131" s="14" t="s">
        <v>98</v>
      </c>
      <c r="J131" s="12" t="s">
        <v>134</v>
      </c>
      <c r="K131" s="12" t="s">
        <v>60</v>
      </c>
      <c r="L131" s="15" t="s">
        <v>37</v>
      </c>
      <c r="M131" s="15" t="s">
        <v>37</v>
      </c>
      <c r="N131" s="14"/>
      <c r="O131" s="14" t="s">
        <v>61</v>
      </c>
      <c r="P131" s="12">
        <v>3</v>
      </c>
      <c r="Q131" s="19" t="s">
        <v>62</v>
      </c>
      <c r="R131" s="14" t="s">
        <v>605</v>
      </c>
      <c r="S131" s="12">
        <v>37</v>
      </c>
      <c r="T131" s="14" t="s">
        <v>41</v>
      </c>
      <c r="U131" s="14" t="s">
        <v>41</v>
      </c>
      <c r="V131" s="17" t="s">
        <v>606</v>
      </c>
    </row>
    <row r="132" spans="1:22" ht="34.200000000000003" x14ac:dyDescent="0.3">
      <c r="A132" s="12">
        <v>118</v>
      </c>
      <c r="B132" s="13" t="s">
        <v>607</v>
      </c>
      <c r="C132" s="12" t="s">
        <v>519</v>
      </c>
      <c r="D132" s="12" t="s">
        <v>73</v>
      </c>
      <c r="E132" s="14" t="s">
        <v>608</v>
      </c>
      <c r="F132" s="14" t="s">
        <v>609</v>
      </c>
      <c r="G132" s="14" t="s">
        <v>57</v>
      </c>
      <c r="H132" s="14" t="s">
        <v>85</v>
      </c>
      <c r="I132" s="14" t="s">
        <v>98</v>
      </c>
      <c r="J132" s="12" t="s">
        <v>610</v>
      </c>
      <c r="K132" s="12" t="s">
        <v>60</v>
      </c>
      <c r="L132" s="15" t="s">
        <v>37</v>
      </c>
      <c r="M132" s="15" t="s">
        <v>37</v>
      </c>
      <c r="N132" s="14"/>
      <c r="O132" s="14" t="s">
        <v>611</v>
      </c>
      <c r="P132" s="12">
        <v>16</v>
      </c>
      <c r="Q132" s="23" t="s">
        <v>402</v>
      </c>
      <c r="R132" s="14" t="s">
        <v>40</v>
      </c>
      <c r="S132" s="12">
        <v>3</v>
      </c>
      <c r="T132" s="14" t="s">
        <v>367</v>
      </c>
      <c r="U132" s="14" t="s">
        <v>448</v>
      </c>
      <c r="V132" s="17" t="s">
        <v>612</v>
      </c>
    </row>
    <row r="133" spans="1:22" x14ac:dyDescent="0.3">
      <c r="A133" s="12">
        <v>119</v>
      </c>
      <c r="B133" s="13" t="s">
        <v>613</v>
      </c>
      <c r="C133" s="12" t="s">
        <v>519</v>
      </c>
      <c r="D133" s="12" t="s">
        <v>73</v>
      </c>
      <c r="E133" s="14" t="s">
        <v>34</v>
      </c>
      <c r="F133" s="14" t="s">
        <v>34</v>
      </c>
      <c r="G133" s="14" t="s">
        <v>35</v>
      </c>
      <c r="H133" s="14" t="s">
        <v>35</v>
      </c>
      <c r="I133" s="14" t="s">
        <v>36</v>
      </c>
      <c r="J133" s="12" t="s">
        <v>34</v>
      </c>
      <c r="K133" s="12" t="s">
        <v>34</v>
      </c>
      <c r="L133" s="15" t="s">
        <v>37</v>
      </c>
      <c r="M133" s="15" t="s">
        <v>37</v>
      </c>
      <c r="N133" s="14"/>
      <c r="O133" s="14" t="s">
        <v>38</v>
      </c>
      <c r="P133" s="12" t="s">
        <v>34</v>
      </c>
      <c r="Q133" s="16" t="s">
        <v>39</v>
      </c>
      <c r="R133" s="14" t="s">
        <v>40</v>
      </c>
      <c r="S133" s="12">
        <v>0</v>
      </c>
      <c r="T133" s="14" t="s">
        <v>41</v>
      </c>
      <c r="U133" s="14" t="s">
        <v>41</v>
      </c>
      <c r="V133" s="17"/>
    </row>
    <row r="134" spans="1:22" x14ac:dyDescent="0.3">
      <c r="A134" s="12">
        <v>120</v>
      </c>
      <c r="B134" s="13" t="s">
        <v>614</v>
      </c>
      <c r="C134" s="12" t="s">
        <v>519</v>
      </c>
      <c r="D134" s="12" t="s">
        <v>79</v>
      </c>
      <c r="E134" s="14" t="s">
        <v>615</v>
      </c>
      <c r="F134" s="14" t="s">
        <v>616</v>
      </c>
      <c r="G134" s="14" t="s">
        <v>57</v>
      </c>
      <c r="H134" s="14" t="s">
        <v>86</v>
      </c>
      <c r="I134" s="14" t="s">
        <v>186</v>
      </c>
      <c r="J134" s="12" t="s">
        <v>617</v>
      </c>
      <c r="K134" s="12" t="s">
        <v>37</v>
      </c>
      <c r="L134" s="18" t="s">
        <v>60</v>
      </c>
      <c r="M134" s="15" t="s">
        <v>37</v>
      </c>
      <c r="N134" s="14"/>
      <c r="O134" s="14" t="s">
        <v>61</v>
      </c>
      <c r="P134" s="12">
        <v>3</v>
      </c>
      <c r="Q134" s="19" t="s">
        <v>62</v>
      </c>
      <c r="R134" s="14" t="s">
        <v>40</v>
      </c>
      <c r="S134" s="12">
        <v>37</v>
      </c>
      <c r="T134" s="14" t="s">
        <v>41</v>
      </c>
      <c r="U134" s="14" t="s">
        <v>41</v>
      </c>
      <c r="V134" s="17" t="s">
        <v>618</v>
      </c>
    </row>
    <row r="135" spans="1:22" x14ac:dyDescent="0.3">
      <c r="A135" s="12">
        <v>121</v>
      </c>
      <c r="B135" s="13" t="s">
        <v>619</v>
      </c>
      <c r="C135" s="12" t="s">
        <v>519</v>
      </c>
      <c r="D135" s="12" t="s">
        <v>255</v>
      </c>
      <c r="E135" s="14" t="s">
        <v>34</v>
      </c>
      <c r="F135" s="14" t="s">
        <v>34</v>
      </c>
      <c r="G135" s="14" t="s">
        <v>35</v>
      </c>
      <c r="H135" s="14" t="s">
        <v>35</v>
      </c>
      <c r="I135" s="14" t="s">
        <v>36</v>
      </c>
      <c r="J135" s="12" t="s">
        <v>34</v>
      </c>
      <c r="K135" s="12" t="s">
        <v>34</v>
      </c>
      <c r="L135" s="15" t="s">
        <v>37</v>
      </c>
      <c r="M135" s="15" t="s">
        <v>37</v>
      </c>
      <c r="N135" s="14"/>
      <c r="O135" s="14" t="s">
        <v>38</v>
      </c>
      <c r="P135" s="12" t="s">
        <v>34</v>
      </c>
      <c r="Q135" s="16" t="s">
        <v>39</v>
      </c>
      <c r="R135" s="14" t="s">
        <v>40</v>
      </c>
      <c r="S135" s="12">
        <v>0</v>
      </c>
      <c r="T135" s="14" t="s">
        <v>41</v>
      </c>
      <c r="U135" s="14" t="s">
        <v>41</v>
      </c>
      <c r="V135" s="17"/>
    </row>
    <row r="136" spans="1:22" x14ac:dyDescent="0.3">
      <c r="A136" s="12">
        <v>122</v>
      </c>
      <c r="B136" s="13" t="s">
        <v>620</v>
      </c>
      <c r="C136" s="12" t="s">
        <v>519</v>
      </c>
      <c r="D136" s="12" t="s">
        <v>82</v>
      </c>
      <c r="E136" s="14" t="s">
        <v>34</v>
      </c>
      <c r="F136" s="14" t="s">
        <v>34</v>
      </c>
      <c r="G136" s="14" t="s">
        <v>35</v>
      </c>
      <c r="H136" s="14" t="s">
        <v>35</v>
      </c>
      <c r="I136" s="14" t="s">
        <v>36</v>
      </c>
      <c r="J136" s="12" t="s">
        <v>34</v>
      </c>
      <c r="K136" s="12" t="s">
        <v>34</v>
      </c>
      <c r="L136" s="15" t="s">
        <v>37</v>
      </c>
      <c r="M136" s="15" t="s">
        <v>37</v>
      </c>
      <c r="N136" s="14"/>
      <c r="O136" s="14" t="s">
        <v>38</v>
      </c>
      <c r="P136" s="12" t="s">
        <v>34</v>
      </c>
      <c r="Q136" s="16" t="s">
        <v>39</v>
      </c>
      <c r="R136" s="14" t="s">
        <v>40</v>
      </c>
      <c r="S136" s="12">
        <v>0</v>
      </c>
      <c r="T136" s="14" t="s">
        <v>41</v>
      </c>
      <c r="U136" s="14" t="s">
        <v>41</v>
      </c>
      <c r="V136" s="17"/>
    </row>
    <row r="137" spans="1:22" ht="34.200000000000003" x14ac:dyDescent="0.3">
      <c r="A137" s="12">
        <v>123</v>
      </c>
      <c r="B137" s="13" t="s">
        <v>621</v>
      </c>
      <c r="C137" s="12" t="s">
        <v>519</v>
      </c>
      <c r="D137" s="12" t="s">
        <v>265</v>
      </c>
      <c r="E137" s="14" t="s">
        <v>622</v>
      </c>
      <c r="F137" s="14" t="s">
        <v>623</v>
      </c>
      <c r="G137" s="14" t="s">
        <v>57</v>
      </c>
      <c r="H137" s="14" t="s">
        <v>57</v>
      </c>
      <c r="I137" s="14" t="s">
        <v>87</v>
      </c>
      <c r="J137" s="12" t="s">
        <v>206</v>
      </c>
      <c r="K137" s="12" t="s">
        <v>60</v>
      </c>
      <c r="L137" s="15" t="s">
        <v>37</v>
      </c>
      <c r="M137" s="15" t="s">
        <v>37</v>
      </c>
      <c r="N137" s="14"/>
      <c r="O137" s="14" t="s">
        <v>89</v>
      </c>
      <c r="P137" s="12">
        <v>1</v>
      </c>
      <c r="Q137" s="19" t="s">
        <v>62</v>
      </c>
      <c r="R137" s="14" t="s">
        <v>624</v>
      </c>
      <c r="S137" s="12">
        <v>13</v>
      </c>
      <c r="T137" s="14" t="s">
        <v>138</v>
      </c>
      <c r="U137" s="14" t="s">
        <v>138</v>
      </c>
      <c r="V137" s="17" t="s">
        <v>625</v>
      </c>
    </row>
    <row r="138" spans="1:22" x14ac:dyDescent="0.3">
      <c r="A138" s="12">
        <v>124</v>
      </c>
      <c r="B138" s="13" t="s">
        <v>626</v>
      </c>
      <c r="C138" s="12" t="s">
        <v>519</v>
      </c>
      <c r="D138" s="12" t="s">
        <v>275</v>
      </c>
      <c r="E138" s="14" t="s">
        <v>627</v>
      </c>
      <c r="F138" s="14" t="s">
        <v>628</v>
      </c>
      <c r="G138" s="14" t="s">
        <v>57</v>
      </c>
      <c r="H138" s="14" t="s">
        <v>86</v>
      </c>
      <c r="I138" s="14" t="s">
        <v>186</v>
      </c>
      <c r="J138" s="12" t="s">
        <v>356</v>
      </c>
      <c r="K138" s="12" t="s">
        <v>37</v>
      </c>
      <c r="L138" s="18" t="s">
        <v>60</v>
      </c>
      <c r="M138" s="15" t="s">
        <v>37</v>
      </c>
      <c r="N138" s="14"/>
      <c r="O138" s="14" t="s">
        <v>629</v>
      </c>
      <c r="P138" s="12">
        <v>5</v>
      </c>
      <c r="Q138" s="19" t="s">
        <v>62</v>
      </c>
      <c r="R138" s="14" t="s">
        <v>40</v>
      </c>
      <c r="S138" s="12">
        <v>117</v>
      </c>
      <c r="T138" s="14" t="s">
        <v>41</v>
      </c>
      <c r="U138" s="14" t="s">
        <v>41</v>
      </c>
      <c r="V138" s="17" t="s">
        <v>630</v>
      </c>
    </row>
    <row r="139" spans="1:22" ht="22.8" x14ac:dyDescent="0.3">
      <c r="A139" s="12">
        <v>125</v>
      </c>
      <c r="B139" s="13" t="s">
        <v>631</v>
      </c>
      <c r="C139" s="12" t="s">
        <v>519</v>
      </c>
      <c r="D139" s="12" t="s">
        <v>275</v>
      </c>
      <c r="E139" s="14" t="s">
        <v>632</v>
      </c>
      <c r="F139" s="14" t="s">
        <v>211</v>
      </c>
      <c r="G139" s="14" t="s">
        <v>57</v>
      </c>
      <c r="H139" s="14" t="s">
        <v>86</v>
      </c>
      <c r="I139" s="14" t="s">
        <v>87</v>
      </c>
      <c r="J139" s="12" t="s">
        <v>633</v>
      </c>
      <c r="K139" s="12" t="s">
        <v>60</v>
      </c>
      <c r="L139" s="15" t="s">
        <v>37</v>
      </c>
      <c r="M139" s="15" t="s">
        <v>37</v>
      </c>
      <c r="N139" s="14"/>
      <c r="O139" s="14" t="s">
        <v>61</v>
      </c>
      <c r="P139" s="12">
        <v>3</v>
      </c>
      <c r="Q139" s="19" t="s">
        <v>62</v>
      </c>
      <c r="R139" s="14" t="s">
        <v>40</v>
      </c>
      <c r="S139" s="12">
        <v>37</v>
      </c>
      <c r="T139" s="14" t="s">
        <v>138</v>
      </c>
      <c r="U139" s="14" t="s">
        <v>634</v>
      </c>
      <c r="V139" s="17" t="s">
        <v>635</v>
      </c>
    </row>
    <row r="140" spans="1:22" ht="22.8" x14ac:dyDescent="0.3">
      <c r="A140" s="12">
        <v>126</v>
      </c>
      <c r="B140" s="13" t="s">
        <v>636</v>
      </c>
      <c r="C140" s="12" t="s">
        <v>519</v>
      </c>
      <c r="D140" s="12" t="s">
        <v>453</v>
      </c>
      <c r="E140" s="14" t="s">
        <v>637</v>
      </c>
      <c r="F140" s="14" t="s">
        <v>638</v>
      </c>
      <c r="G140" s="14" t="s">
        <v>97</v>
      </c>
      <c r="H140" s="14" t="s">
        <v>57</v>
      </c>
      <c r="I140" s="14" t="s">
        <v>87</v>
      </c>
      <c r="J140" s="12" t="s">
        <v>206</v>
      </c>
      <c r="K140" s="12" t="s">
        <v>60</v>
      </c>
      <c r="L140" s="18" t="s">
        <v>60</v>
      </c>
      <c r="M140" s="18" t="s">
        <v>60</v>
      </c>
      <c r="N140" s="14"/>
      <c r="O140" s="14" t="s">
        <v>456</v>
      </c>
      <c r="P140" s="12">
        <v>8</v>
      </c>
      <c r="Q140" s="21" t="s">
        <v>136</v>
      </c>
      <c r="R140" s="14" t="s">
        <v>639</v>
      </c>
      <c r="S140" s="12">
        <v>0</v>
      </c>
      <c r="T140" s="14" t="s">
        <v>367</v>
      </c>
      <c r="U140" s="14" t="s">
        <v>368</v>
      </c>
      <c r="V140" s="17" t="s">
        <v>640</v>
      </c>
    </row>
    <row r="141" spans="1:22" ht="34.200000000000003" x14ac:dyDescent="0.3">
      <c r="A141" s="12">
        <v>127</v>
      </c>
      <c r="B141" s="13" t="s">
        <v>641</v>
      </c>
      <c r="C141" s="12" t="s">
        <v>519</v>
      </c>
      <c r="D141" s="12" t="s">
        <v>282</v>
      </c>
      <c r="E141" s="14" t="s">
        <v>642</v>
      </c>
      <c r="F141" s="14" t="s">
        <v>643</v>
      </c>
      <c r="G141" s="14" t="s">
        <v>57</v>
      </c>
      <c r="H141" s="14" t="s">
        <v>57</v>
      </c>
      <c r="I141" s="14" t="s">
        <v>87</v>
      </c>
      <c r="J141" s="12" t="s">
        <v>394</v>
      </c>
      <c r="K141" s="12" t="s">
        <v>60</v>
      </c>
      <c r="L141" s="18" t="s">
        <v>60</v>
      </c>
      <c r="M141" s="18" t="s">
        <v>60</v>
      </c>
      <c r="N141" s="14"/>
      <c r="O141" s="14" t="s">
        <v>644</v>
      </c>
      <c r="P141" s="12">
        <v>32</v>
      </c>
      <c r="Q141" s="24" t="s">
        <v>443</v>
      </c>
      <c r="R141" s="14" t="s">
        <v>40</v>
      </c>
      <c r="S141" s="12">
        <v>1</v>
      </c>
      <c r="T141" s="14" t="s">
        <v>138</v>
      </c>
      <c r="U141" s="14" t="s">
        <v>645</v>
      </c>
      <c r="V141" s="17" t="s">
        <v>646</v>
      </c>
    </row>
    <row r="142" spans="1:22" ht="34.200000000000003" x14ac:dyDescent="0.3">
      <c r="A142" s="12">
        <v>128</v>
      </c>
      <c r="B142" s="13" t="s">
        <v>647</v>
      </c>
      <c r="C142" s="12" t="s">
        <v>519</v>
      </c>
      <c r="D142" s="12" t="s">
        <v>94</v>
      </c>
      <c r="E142" s="14" t="s">
        <v>648</v>
      </c>
      <c r="F142" s="14" t="s">
        <v>649</v>
      </c>
      <c r="G142" s="14" t="s">
        <v>97</v>
      </c>
      <c r="H142" s="14" t="s">
        <v>97</v>
      </c>
      <c r="I142" s="14" t="s">
        <v>87</v>
      </c>
      <c r="J142" s="12" t="s">
        <v>650</v>
      </c>
      <c r="K142" s="12" t="s">
        <v>60</v>
      </c>
      <c r="L142" s="18" t="s">
        <v>60</v>
      </c>
      <c r="M142" s="18" t="s">
        <v>60</v>
      </c>
      <c r="N142" s="14"/>
      <c r="O142" s="14" t="s">
        <v>456</v>
      </c>
      <c r="P142" s="12">
        <v>5</v>
      </c>
      <c r="Q142" s="19" t="s">
        <v>62</v>
      </c>
      <c r="R142" s="14" t="s">
        <v>594</v>
      </c>
      <c r="S142" s="12">
        <v>0</v>
      </c>
      <c r="T142" s="14" t="s">
        <v>64</v>
      </c>
      <c r="U142" s="14" t="s">
        <v>651</v>
      </c>
      <c r="V142" s="17" t="s">
        <v>652</v>
      </c>
    </row>
    <row r="143" spans="1:22" x14ac:dyDescent="0.3">
      <c r="A143" s="12">
        <v>129</v>
      </c>
      <c r="B143" s="13" t="s">
        <v>653</v>
      </c>
      <c r="C143" s="12" t="s">
        <v>519</v>
      </c>
      <c r="D143" s="12" t="s">
        <v>460</v>
      </c>
      <c r="E143" s="14" t="s">
        <v>654</v>
      </c>
      <c r="F143" s="14" t="s">
        <v>655</v>
      </c>
      <c r="G143" s="14" t="s">
        <v>97</v>
      </c>
      <c r="H143" s="14" t="s">
        <v>268</v>
      </c>
      <c r="I143" s="14" t="s">
        <v>87</v>
      </c>
      <c r="J143" s="12" t="s">
        <v>633</v>
      </c>
      <c r="K143" s="12" t="s">
        <v>60</v>
      </c>
      <c r="L143" s="18" t="s">
        <v>60</v>
      </c>
      <c r="M143" s="18" t="s">
        <v>60</v>
      </c>
      <c r="N143" s="14"/>
      <c r="O143" s="14" t="s">
        <v>135</v>
      </c>
      <c r="P143" s="12">
        <v>9</v>
      </c>
      <c r="Q143" s="21" t="s">
        <v>136</v>
      </c>
      <c r="R143" s="14" t="s">
        <v>40</v>
      </c>
      <c r="S143" s="12">
        <v>51</v>
      </c>
      <c r="T143" s="14" t="s">
        <v>357</v>
      </c>
      <c r="U143" s="14" t="s">
        <v>357</v>
      </c>
      <c r="V143" s="17" t="s">
        <v>656</v>
      </c>
    </row>
    <row r="144" spans="1:22" ht="45.6" x14ac:dyDescent="0.3">
      <c r="A144" s="12">
        <v>130</v>
      </c>
      <c r="B144" s="13" t="s">
        <v>641</v>
      </c>
      <c r="C144" s="12" t="s">
        <v>519</v>
      </c>
      <c r="D144" s="12" t="s">
        <v>657</v>
      </c>
      <c r="E144" s="14" t="s">
        <v>642</v>
      </c>
      <c r="F144" s="14" t="s">
        <v>643</v>
      </c>
      <c r="G144" s="14" t="s">
        <v>57</v>
      </c>
      <c r="H144" s="14" t="s">
        <v>57</v>
      </c>
      <c r="I144" s="14" t="s">
        <v>87</v>
      </c>
      <c r="J144" s="12" t="s">
        <v>394</v>
      </c>
      <c r="K144" s="12" t="s">
        <v>60</v>
      </c>
      <c r="L144" s="18" t="s">
        <v>60</v>
      </c>
      <c r="M144" s="18" t="s">
        <v>60</v>
      </c>
      <c r="N144" s="14"/>
      <c r="O144" s="14" t="s">
        <v>199</v>
      </c>
      <c r="P144" s="12">
        <v>6</v>
      </c>
      <c r="Q144" s="21" t="s">
        <v>136</v>
      </c>
      <c r="R144" s="14" t="s">
        <v>40</v>
      </c>
      <c r="S144" s="12">
        <v>14</v>
      </c>
      <c r="T144" s="14" t="s">
        <v>138</v>
      </c>
      <c r="U144" s="14" t="s">
        <v>658</v>
      </c>
      <c r="V144" s="17" t="s">
        <v>659</v>
      </c>
    </row>
    <row r="145" spans="1:22" ht="34.200000000000003" x14ac:dyDescent="0.3">
      <c r="A145" s="12">
        <v>131</v>
      </c>
      <c r="B145" s="13" t="s">
        <v>660</v>
      </c>
      <c r="C145" s="12" t="s">
        <v>519</v>
      </c>
      <c r="D145" s="12" t="s">
        <v>661</v>
      </c>
      <c r="E145" s="14" t="s">
        <v>662</v>
      </c>
      <c r="F145" s="14" t="s">
        <v>663</v>
      </c>
      <c r="G145" s="14" t="s">
        <v>664</v>
      </c>
      <c r="H145" s="14" t="s">
        <v>97</v>
      </c>
      <c r="I145" s="14" t="s">
        <v>87</v>
      </c>
      <c r="J145" s="12" t="s">
        <v>574</v>
      </c>
      <c r="K145" s="12" t="s">
        <v>60</v>
      </c>
      <c r="L145" s="22" t="s">
        <v>146</v>
      </c>
      <c r="M145" s="22" t="s">
        <v>146</v>
      </c>
      <c r="N145" s="14"/>
      <c r="O145" s="14" t="s">
        <v>61</v>
      </c>
      <c r="P145" s="12">
        <v>3</v>
      </c>
      <c r="Q145" s="19" t="s">
        <v>62</v>
      </c>
      <c r="R145" s="14" t="s">
        <v>40</v>
      </c>
      <c r="S145" s="12">
        <v>37</v>
      </c>
      <c r="T145" s="14" t="s">
        <v>64</v>
      </c>
      <c r="U145" s="14" t="s">
        <v>665</v>
      </c>
      <c r="V145" s="17" t="s">
        <v>666</v>
      </c>
    </row>
    <row r="146" spans="1:22" x14ac:dyDescent="0.3">
      <c r="A146" s="12">
        <v>132</v>
      </c>
      <c r="B146" s="13" t="s">
        <v>667</v>
      </c>
      <c r="C146" s="12" t="s">
        <v>519</v>
      </c>
      <c r="D146" s="12" t="s">
        <v>307</v>
      </c>
      <c r="E146" s="14" t="s">
        <v>34</v>
      </c>
      <c r="F146" s="14" t="s">
        <v>34</v>
      </c>
      <c r="G146" s="14" t="s">
        <v>35</v>
      </c>
      <c r="H146" s="14" t="s">
        <v>35</v>
      </c>
      <c r="I146" s="14" t="s">
        <v>36</v>
      </c>
      <c r="J146" s="12" t="s">
        <v>34</v>
      </c>
      <c r="K146" s="12" t="s">
        <v>34</v>
      </c>
      <c r="L146" s="15" t="s">
        <v>37</v>
      </c>
      <c r="M146" s="15" t="s">
        <v>37</v>
      </c>
      <c r="N146" s="14"/>
      <c r="O146" s="14" t="s">
        <v>38</v>
      </c>
      <c r="P146" s="12" t="s">
        <v>34</v>
      </c>
      <c r="Q146" s="16" t="s">
        <v>39</v>
      </c>
      <c r="R146" s="14" t="s">
        <v>40</v>
      </c>
      <c r="S146" s="12">
        <v>0</v>
      </c>
      <c r="T146" s="14" t="s">
        <v>41</v>
      </c>
      <c r="U146" s="14" t="s">
        <v>41</v>
      </c>
      <c r="V146" s="17"/>
    </row>
    <row r="147" spans="1:22" ht="34.200000000000003" x14ac:dyDescent="0.3">
      <c r="A147" s="12">
        <v>133</v>
      </c>
      <c r="B147" s="13" t="s">
        <v>668</v>
      </c>
      <c r="C147" s="12" t="s">
        <v>519</v>
      </c>
      <c r="D147" s="12" t="s">
        <v>307</v>
      </c>
      <c r="E147" s="14" t="s">
        <v>669</v>
      </c>
      <c r="F147" s="14" t="s">
        <v>492</v>
      </c>
      <c r="G147" s="14" t="s">
        <v>363</v>
      </c>
      <c r="H147" s="14" t="s">
        <v>86</v>
      </c>
      <c r="I147" s="14" t="s">
        <v>186</v>
      </c>
      <c r="J147" s="12" t="s">
        <v>187</v>
      </c>
      <c r="K147" s="12" t="s">
        <v>60</v>
      </c>
      <c r="L147" s="15" t="s">
        <v>37</v>
      </c>
      <c r="M147" s="15" t="s">
        <v>37</v>
      </c>
      <c r="N147" s="14"/>
      <c r="O147" s="14" t="s">
        <v>583</v>
      </c>
      <c r="P147" s="12">
        <v>5</v>
      </c>
      <c r="Q147" s="19" t="s">
        <v>62</v>
      </c>
      <c r="R147" s="14" t="s">
        <v>40</v>
      </c>
      <c r="S147" s="12">
        <v>15</v>
      </c>
      <c r="T147" s="14" t="s">
        <v>138</v>
      </c>
      <c r="U147" s="14" t="s">
        <v>670</v>
      </c>
      <c r="V147" s="17" t="s">
        <v>671</v>
      </c>
    </row>
    <row r="148" spans="1:22" ht="22.8" x14ac:dyDescent="0.3">
      <c r="A148" s="12">
        <v>134</v>
      </c>
      <c r="B148" s="13" t="s">
        <v>672</v>
      </c>
      <c r="C148" s="12" t="s">
        <v>519</v>
      </c>
      <c r="D148" s="12" t="s">
        <v>673</v>
      </c>
      <c r="E148" s="14" t="s">
        <v>674</v>
      </c>
      <c r="F148" s="14" t="s">
        <v>675</v>
      </c>
      <c r="G148" s="14" t="s">
        <v>57</v>
      </c>
      <c r="H148" s="14" t="s">
        <v>57</v>
      </c>
      <c r="I148" s="14" t="s">
        <v>98</v>
      </c>
      <c r="J148" s="12" t="s">
        <v>159</v>
      </c>
      <c r="K148" s="12" t="s">
        <v>60</v>
      </c>
      <c r="L148" s="15" t="s">
        <v>37</v>
      </c>
      <c r="M148" s="15" t="s">
        <v>37</v>
      </c>
      <c r="N148" s="14"/>
      <c r="O148" s="14" t="s">
        <v>153</v>
      </c>
      <c r="P148" s="12">
        <v>6</v>
      </c>
      <c r="Q148" s="21" t="s">
        <v>136</v>
      </c>
      <c r="R148" s="14" t="s">
        <v>40</v>
      </c>
      <c r="S148" s="12">
        <v>22</v>
      </c>
      <c r="T148" s="14" t="s">
        <v>174</v>
      </c>
      <c r="U148" s="14" t="s">
        <v>175</v>
      </c>
      <c r="V148" s="17" t="s">
        <v>676</v>
      </c>
    </row>
    <row r="149" spans="1:22" ht="45.6" x14ac:dyDescent="0.3">
      <c r="A149" s="12">
        <v>135</v>
      </c>
      <c r="B149" s="13" t="s">
        <v>677</v>
      </c>
      <c r="C149" s="12" t="s">
        <v>519</v>
      </c>
      <c r="D149" s="12" t="s">
        <v>678</v>
      </c>
      <c r="E149" s="14" t="s">
        <v>679</v>
      </c>
      <c r="F149" s="14" t="s">
        <v>680</v>
      </c>
      <c r="G149" s="14" t="s">
        <v>57</v>
      </c>
      <c r="H149" s="14" t="s">
        <v>57</v>
      </c>
      <c r="I149" s="14" t="s">
        <v>98</v>
      </c>
      <c r="J149" s="12" t="s">
        <v>681</v>
      </c>
      <c r="K149" s="12" t="s">
        <v>60</v>
      </c>
      <c r="L149" s="22" t="s">
        <v>146</v>
      </c>
      <c r="M149" s="18" t="s">
        <v>60</v>
      </c>
      <c r="N149" s="14"/>
      <c r="O149" s="14" t="s">
        <v>486</v>
      </c>
      <c r="P149" s="12">
        <v>5</v>
      </c>
      <c r="Q149" s="19" t="s">
        <v>62</v>
      </c>
      <c r="R149" s="14" t="s">
        <v>682</v>
      </c>
      <c r="S149" s="12">
        <v>31</v>
      </c>
      <c r="T149" s="14" t="s">
        <v>138</v>
      </c>
      <c r="U149" s="14" t="s">
        <v>683</v>
      </c>
      <c r="V149" s="17" t="s">
        <v>684</v>
      </c>
    </row>
    <row r="150" spans="1:22" ht="34.200000000000003" x14ac:dyDescent="0.3">
      <c r="A150" s="12">
        <v>136</v>
      </c>
      <c r="B150" s="13" t="s">
        <v>685</v>
      </c>
      <c r="C150" s="12" t="s">
        <v>519</v>
      </c>
      <c r="D150" s="12" t="s">
        <v>686</v>
      </c>
      <c r="E150" s="14" t="s">
        <v>687</v>
      </c>
      <c r="F150" s="14" t="s">
        <v>688</v>
      </c>
      <c r="G150" s="14" t="s">
        <v>57</v>
      </c>
      <c r="H150" s="14" t="s">
        <v>57</v>
      </c>
      <c r="I150" s="14" t="s">
        <v>212</v>
      </c>
      <c r="J150" s="12" t="s">
        <v>564</v>
      </c>
      <c r="K150" s="12" t="s">
        <v>60</v>
      </c>
      <c r="L150" s="18" t="s">
        <v>60</v>
      </c>
      <c r="M150" s="15" t="s">
        <v>37</v>
      </c>
      <c r="N150" s="14"/>
      <c r="O150" s="14" t="s">
        <v>61</v>
      </c>
      <c r="P150" s="12">
        <v>3</v>
      </c>
      <c r="Q150" s="19" t="s">
        <v>62</v>
      </c>
      <c r="R150" s="14" t="s">
        <v>689</v>
      </c>
      <c r="S150" s="12">
        <v>37</v>
      </c>
      <c r="T150" s="14" t="s">
        <v>64</v>
      </c>
      <c r="U150" s="14" t="s">
        <v>690</v>
      </c>
      <c r="V150" s="17" t="s">
        <v>691</v>
      </c>
    </row>
    <row r="151" spans="1:22" ht="22.8" x14ac:dyDescent="0.3">
      <c r="A151" s="12">
        <v>137</v>
      </c>
      <c r="B151" s="13" t="s">
        <v>692</v>
      </c>
      <c r="C151" s="12" t="s">
        <v>519</v>
      </c>
      <c r="D151" s="12" t="s">
        <v>693</v>
      </c>
      <c r="E151" s="14" t="s">
        <v>694</v>
      </c>
      <c r="F151" s="14" t="s">
        <v>695</v>
      </c>
      <c r="G151" s="14" t="s">
        <v>57</v>
      </c>
      <c r="H151" s="14" t="s">
        <v>57</v>
      </c>
      <c r="I151" s="14" t="s">
        <v>98</v>
      </c>
      <c r="J151" s="12" t="s">
        <v>99</v>
      </c>
      <c r="K151" s="12" t="s">
        <v>60</v>
      </c>
      <c r="L151" s="18" t="s">
        <v>60</v>
      </c>
      <c r="M151" s="18" t="s">
        <v>60</v>
      </c>
      <c r="N151" s="14"/>
      <c r="O151" s="14" t="s">
        <v>135</v>
      </c>
      <c r="P151" s="12">
        <v>9</v>
      </c>
      <c r="Q151" s="21" t="s">
        <v>136</v>
      </c>
      <c r="R151" s="14" t="s">
        <v>696</v>
      </c>
      <c r="S151" s="12">
        <v>51</v>
      </c>
      <c r="T151" s="14" t="s">
        <v>41</v>
      </c>
      <c r="U151" s="14" t="s">
        <v>41</v>
      </c>
      <c r="V151" s="17" t="s">
        <v>697</v>
      </c>
    </row>
    <row r="152" spans="1:22" x14ac:dyDescent="0.3">
      <c r="A152" s="12">
        <v>138</v>
      </c>
      <c r="B152" s="13" t="s">
        <v>698</v>
      </c>
      <c r="C152" s="12" t="s">
        <v>519</v>
      </c>
      <c r="D152" s="12" t="s">
        <v>699</v>
      </c>
      <c r="E152" s="14" t="s">
        <v>700</v>
      </c>
      <c r="F152" s="14" t="s">
        <v>701</v>
      </c>
      <c r="G152" s="14" t="s">
        <v>57</v>
      </c>
      <c r="H152" s="14" t="s">
        <v>377</v>
      </c>
      <c r="I152" s="14" t="s">
        <v>87</v>
      </c>
      <c r="J152" s="12" t="s">
        <v>702</v>
      </c>
      <c r="K152" s="12" t="s">
        <v>60</v>
      </c>
      <c r="L152" s="15" t="s">
        <v>37</v>
      </c>
      <c r="M152" s="15" t="s">
        <v>37</v>
      </c>
      <c r="N152" s="14"/>
      <c r="O152" s="14" t="s">
        <v>61</v>
      </c>
      <c r="P152" s="12">
        <v>3</v>
      </c>
      <c r="Q152" s="19" t="s">
        <v>62</v>
      </c>
      <c r="R152" s="14" t="s">
        <v>639</v>
      </c>
      <c r="S152" s="12">
        <v>37</v>
      </c>
      <c r="T152" s="14" t="s">
        <v>41</v>
      </c>
      <c r="U152" s="14" t="s">
        <v>41</v>
      </c>
      <c r="V152" s="17" t="s">
        <v>703</v>
      </c>
    </row>
    <row r="153" spans="1:22" ht="34.200000000000003" x14ac:dyDescent="0.3">
      <c r="A153" s="12">
        <v>139</v>
      </c>
      <c r="B153" s="13" t="s">
        <v>704</v>
      </c>
      <c r="C153" s="12" t="s">
        <v>519</v>
      </c>
      <c r="D153" s="12" t="s">
        <v>705</v>
      </c>
      <c r="E153" s="14" t="s">
        <v>706</v>
      </c>
      <c r="F153" s="14" t="s">
        <v>707</v>
      </c>
      <c r="G153" s="14" t="s">
        <v>57</v>
      </c>
      <c r="H153" s="14" t="s">
        <v>57</v>
      </c>
      <c r="I153" s="14" t="s">
        <v>98</v>
      </c>
      <c r="J153" s="12" t="s">
        <v>681</v>
      </c>
      <c r="K153" s="12" t="s">
        <v>60</v>
      </c>
      <c r="L153" s="18" t="s">
        <v>60</v>
      </c>
      <c r="M153" s="18" t="s">
        <v>60</v>
      </c>
      <c r="N153" s="14"/>
      <c r="O153" s="14" t="s">
        <v>61</v>
      </c>
      <c r="P153" s="12">
        <v>3</v>
      </c>
      <c r="Q153" s="19" t="s">
        <v>62</v>
      </c>
      <c r="R153" s="14" t="s">
        <v>708</v>
      </c>
      <c r="S153" s="12">
        <v>37</v>
      </c>
      <c r="T153" s="14" t="s">
        <v>91</v>
      </c>
      <c r="U153" s="14" t="s">
        <v>709</v>
      </c>
      <c r="V153" s="17" t="s">
        <v>710</v>
      </c>
    </row>
    <row r="154" spans="1:22" ht="34.200000000000003" x14ac:dyDescent="0.3">
      <c r="A154" s="12">
        <v>140</v>
      </c>
      <c r="B154" s="13" t="s">
        <v>711</v>
      </c>
      <c r="C154" s="12" t="s">
        <v>519</v>
      </c>
      <c r="D154" s="12" t="s">
        <v>712</v>
      </c>
      <c r="E154" s="14" t="s">
        <v>713</v>
      </c>
      <c r="F154" s="14" t="s">
        <v>714</v>
      </c>
      <c r="G154" s="14" t="s">
        <v>165</v>
      </c>
      <c r="H154" s="14" t="s">
        <v>278</v>
      </c>
      <c r="I154" s="14" t="s">
        <v>98</v>
      </c>
      <c r="J154" s="12" t="s">
        <v>715</v>
      </c>
      <c r="K154" s="12" t="s">
        <v>60</v>
      </c>
      <c r="L154" s="15" t="s">
        <v>37</v>
      </c>
      <c r="M154" s="15" t="s">
        <v>37</v>
      </c>
      <c r="N154" s="14"/>
      <c r="O154" s="14" t="s">
        <v>716</v>
      </c>
      <c r="P154" s="12">
        <v>28</v>
      </c>
      <c r="Q154" s="24" t="s">
        <v>443</v>
      </c>
      <c r="R154" s="14" t="s">
        <v>717</v>
      </c>
      <c r="S154" s="12">
        <v>0</v>
      </c>
      <c r="T154" s="14" t="s">
        <v>174</v>
      </c>
      <c r="U154" s="14" t="s">
        <v>174</v>
      </c>
      <c r="V154" s="17" t="s">
        <v>718</v>
      </c>
    </row>
    <row r="155" spans="1:22" ht="22.8" x14ac:dyDescent="0.3">
      <c r="A155" s="12">
        <v>141</v>
      </c>
      <c r="B155" s="13" t="s">
        <v>719</v>
      </c>
      <c r="C155" s="12" t="s">
        <v>519</v>
      </c>
      <c r="D155" s="12" t="s">
        <v>122</v>
      </c>
      <c r="E155" s="14" t="s">
        <v>720</v>
      </c>
      <c r="F155" s="14" t="s">
        <v>721</v>
      </c>
      <c r="G155" s="14" t="s">
        <v>268</v>
      </c>
      <c r="H155" s="14" t="s">
        <v>97</v>
      </c>
      <c r="I155" s="14" t="s">
        <v>98</v>
      </c>
      <c r="J155" s="12" t="s">
        <v>159</v>
      </c>
      <c r="K155" s="12" t="s">
        <v>60</v>
      </c>
      <c r="L155" s="15" t="s">
        <v>37</v>
      </c>
      <c r="M155" s="22" t="s">
        <v>146</v>
      </c>
      <c r="N155" s="14"/>
      <c r="O155" s="14" t="s">
        <v>486</v>
      </c>
      <c r="P155" s="12">
        <v>5</v>
      </c>
      <c r="Q155" s="19" t="s">
        <v>62</v>
      </c>
      <c r="R155" s="14" t="s">
        <v>40</v>
      </c>
      <c r="S155" s="12">
        <v>31</v>
      </c>
      <c r="T155" s="14" t="s">
        <v>311</v>
      </c>
      <c r="U155" s="14" t="s">
        <v>722</v>
      </c>
      <c r="V155" s="17" t="s">
        <v>723</v>
      </c>
    </row>
    <row r="157" spans="1:22" x14ac:dyDescent="0.3">
      <c r="A157" s="10" t="s">
        <v>724</v>
      </c>
      <c r="B157" s="11"/>
      <c r="C157" s="11"/>
      <c r="D157" s="11"/>
      <c r="E157" s="11"/>
      <c r="F157" s="11"/>
      <c r="G157" s="11"/>
      <c r="H157" s="11"/>
      <c r="I157" s="11"/>
      <c r="J157" s="11"/>
      <c r="K157" s="11"/>
      <c r="L157" s="11"/>
      <c r="M157" s="11"/>
      <c r="N157" s="11"/>
      <c r="O157" s="11"/>
      <c r="P157" s="11"/>
      <c r="Q157" s="11"/>
      <c r="R157" s="11"/>
      <c r="S157" s="11"/>
      <c r="T157" s="11"/>
      <c r="U157" s="11"/>
      <c r="V157" s="11"/>
    </row>
    <row r="158" spans="1:22" ht="22.8" x14ac:dyDescent="0.3">
      <c r="A158" s="12">
        <v>142</v>
      </c>
      <c r="B158" s="13" t="s">
        <v>725</v>
      </c>
      <c r="C158" s="12" t="s">
        <v>726</v>
      </c>
      <c r="D158" s="12" t="s">
        <v>33</v>
      </c>
      <c r="E158" s="14" t="s">
        <v>727</v>
      </c>
      <c r="F158" s="14" t="s">
        <v>728</v>
      </c>
      <c r="G158" s="14" t="s">
        <v>57</v>
      </c>
      <c r="H158" s="14" t="s">
        <v>57</v>
      </c>
      <c r="I158" s="14" t="s">
        <v>98</v>
      </c>
      <c r="J158" s="12" t="s">
        <v>159</v>
      </c>
      <c r="K158" s="12" t="s">
        <v>60</v>
      </c>
      <c r="L158" s="15" t="s">
        <v>37</v>
      </c>
      <c r="M158" s="22" t="s">
        <v>146</v>
      </c>
      <c r="N158" s="14"/>
      <c r="O158" s="14" t="s">
        <v>486</v>
      </c>
      <c r="P158" s="12">
        <v>5</v>
      </c>
      <c r="Q158" s="19" t="s">
        <v>62</v>
      </c>
      <c r="R158" s="14" t="s">
        <v>40</v>
      </c>
      <c r="S158" s="12">
        <v>31</v>
      </c>
      <c r="T158" s="14" t="s">
        <v>41</v>
      </c>
      <c r="U158" s="14" t="s">
        <v>41</v>
      </c>
      <c r="V158" s="17" t="s">
        <v>729</v>
      </c>
    </row>
    <row r="159" spans="1:22" ht="34.200000000000003" x14ac:dyDescent="0.3">
      <c r="A159" s="12">
        <v>143</v>
      </c>
      <c r="B159" s="13" t="s">
        <v>730</v>
      </c>
      <c r="C159" s="12" t="s">
        <v>726</v>
      </c>
      <c r="D159" s="12" t="s">
        <v>33</v>
      </c>
      <c r="E159" s="14" t="s">
        <v>731</v>
      </c>
      <c r="F159" s="14" t="s">
        <v>732</v>
      </c>
      <c r="G159" s="14" t="s">
        <v>57</v>
      </c>
      <c r="H159" s="14" t="s">
        <v>165</v>
      </c>
      <c r="I159" s="14" t="s">
        <v>87</v>
      </c>
      <c r="J159" s="12" t="s">
        <v>166</v>
      </c>
      <c r="K159" s="12" t="s">
        <v>60</v>
      </c>
      <c r="L159" s="22" t="s">
        <v>146</v>
      </c>
      <c r="M159" s="15" t="s">
        <v>37</v>
      </c>
      <c r="N159" s="14"/>
      <c r="O159" s="14" t="s">
        <v>61</v>
      </c>
      <c r="P159" s="12">
        <v>3</v>
      </c>
      <c r="Q159" s="19" t="s">
        <v>62</v>
      </c>
      <c r="R159" s="14" t="s">
        <v>40</v>
      </c>
      <c r="S159" s="12">
        <v>37</v>
      </c>
      <c r="T159" s="14" t="s">
        <v>138</v>
      </c>
      <c r="U159" s="14" t="s">
        <v>733</v>
      </c>
      <c r="V159" s="17" t="s">
        <v>734</v>
      </c>
    </row>
    <row r="160" spans="1:22" ht="34.200000000000003" x14ac:dyDescent="0.3">
      <c r="A160" s="12">
        <v>144</v>
      </c>
      <c r="B160" s="13" t="s">
        <v>735</v>
      </c>
      <c r="C160" s="12" t="s">
        <v>726</v>
      </c>
      <c r="D160" s="12" t="s">
        <v>33</v>
      </c>
      <c r="E160" s="14" t="s">
        <v>736</v>
      </c>
      <c r="F160" s="14" t="s">
        <v>737</v>
      </c>
      <c r="G160" s="14" t="s">
        <v>57</v>
      </c>
      <c r="H160" s="14" t="s">
        <v>57</v>
      </c>
      <c r="I160" s="14" t="s">
        <v>98</v>
      </c>
      <c r="J160" s="12" t="s">
        <v>134</v>
      </c>
      <c r="K160" s="12" t="s">
        <v>60</v>
      </c>
      <c r="L160" s="18" t="s">
        <v>60</v>
      </c>
      <c r="M160" s="18" t="s">
        <v>60</v>
      </c>
      <c r="N160" s="14"/>
      <c r="O160" s="14" t="s">
        <v>100</v>
      </c>
      <c r="P160" s="12">
        <v>11</v>
      </c>
      <c r="Q160" s="20" t="s">
        <v>101</v>
      </c>
      <c r="R160" s="14" t="s">
        <v>40</v>
      </c>
      <c r="S160" s="12">
        <v>9</v>
      </c>
      <c r="T160" s="14" t="s">
        <v>91</v>
      </c>
      <c r="U160" s="14" t="s">
        <v>738</v>
      </c>
      <c r="V160" s="17" t="s">
        <v>739</v>
      </c>
    </row>
    <row r="161" spans="1:22" ht="45.6" x14ac:dyDescent="0.3">
      <c r="A161" s="12">
        <v>145</v>
      </c>
      <c r="B161" s="13" t="s">
        <v>740</v>
      </c>
      <c r="C161" s="12" t="s">
        <v>726</v>
      </c>
      <c r="D161" s="12" t="s">
        <v>49</v>
      </c>
      <c r="E161" s="14" t="s">
        <v>741</v>
      </c>
      <c r="F161" s="14" t="s">
        <v>742</v>
      </c>
      <c r="G161" s="14" t="s">
        <v>57</v>
      </c>
      <c r="H161" s="14" t="s">
        <v>377</v>
      </c>
      <c r="I161" s="14" t="s">
        <v>58</v>
      </c>
      <c r="J161" s="12" t="s">
        <v>743</v>
      </c>
      <c r="K161" s="12" t="s">
        <v>60</v>
      </c>
      <c r="L161" s="15" t="s">
        <v>37</v>
      </c>
      <c r="M161" s="15" t="s">
        <v>37</v>
      </c>
      <c r="N161" s="14"/>
      <c r="O161" s="14" t="s">
        <v>153</v>
      </c>
      <c r="P161" s="12">
        <v>6</v>
      </c>
      <c r="Q161" s="21" t="s">
        <v>136</v>
      </c>
      <c r="R161" s="14" t="s">
        <v>227</v>
      </c>
      <c r="S161" s="12">
        <v>22</v>
      </c>
      <c r="T161" s="14" t="s">
        <v>138</v>
      </c>
      <c r="U161" s="14" t="s">
        <v>744</v>
      </c>
      <c r="V161" s="17" t="s">
        <v>745</v>
      </c>
    </row>
    <row r="162" spans="1:22" ht="34.200000000000003" x14ac:dyDescent="0.3">
      <c r="A162" s="12">
        <v>146</v>
      </c>
      <c r="B162" s="13" t="s">
        <v>746</v>
      </c>
      <c r="C162" s="12" t="s">
        <v>726</v>
      </c>
      <c r="D162" s="12" t="s">
        <v>51</v>
      </c>
      <c r="E162" s="14" t="s">
        <v>747</v>
      </c>
      <c r="F162" s="14" t="s">
        <v>748</v>
      </c>
      <c r="G162" s="14" t="s">
        <v>57</v>
      </c>
      <c r="H162" s="14" t="s">
        <v>85</v>
      </c>
      <c r="I162" s="14" t="s">
        <v>58</v>
      </c>
      <c r="J162" s="12" t="s">
        <v>59</v>
      </c>
      <c r="K162" s="12" t="s">
        <v>60</v>
      </c>
      <c r="L162" s="15" t="s">
        <v>37</v>
      </c>
      <c r="M162" s="15" t="s">
        <v>37</v>
      </c>
      <c r="N162" s="14"/>
      <c r="O162" s="14" t="s">
        <v>365</v>
      </c>
      <c r="P162" s="12">
        <v>7</v>
      </c>
      <c r="Q162" s="21" t="s">
        <v>136</v>
      </c>
      <c r="R162" s="14" t="s">
        <v>749</v>
      </c>
      <c r="S162" s="12">
        <v>14</v>
      </c>
      <c r="T162" s="14" t="s">
        <v>138</v>
      </c>
      <c r="U162" s="14" t="s">
        <v>750</v>
      </c>
      <c r="V162" s="17" t="s">
        <v>751</v>
      </c>
    </row>
    <row r="163" spans="1:22" ht="34.200000000000003" x14ac:dyDescent="0.3">
      <c r="A163" s="12">
        <v>147</v>
      </c>
      <c r="B163" s="13" t="s">
        <v>752</v>
      </c>
      <c r="C163" s="12" t="s">
        <v>726</v>
      </c>
      <c r="D163" s="12" t="s">
        <v>51</v>
      </c>
      <c r="E163" s="14" t="s">
        <v>753</v>
      </c>
      <c r="F163" s="14" t="s">
        <v>754</v>
      </c>
      <c r="G163" s="14" t="s">
        <v>57</v>
      </c>
      <c r="H163" s="14" t="s">
        <v>57</v>
      </c>
      <c r="I163" s="14" t="s">
        <v>98</v>
      </c>
      <c r="J163" s="12" t="s">
        <v>159</v>
      </c>
      <c r="K163" s="12" t="s">
        <v>60</v>
      </c>
      <c r="L163" s="18" t="s">
        <v>60</v>
      </c>
      <c r="M163" s="18" t="s">
        <v>60</v>
      </c>
      <c r="N163" s="14"/>
      <c r="O163" s="14" t="s">
        <v>153</v>
      </c>
      <c r="P163" s="12">
        <v>6</v>
      </c>
      <c r="Q163" s="21" t="s">
        <v>136</v>
      </c>
      <c r="R163" s="14" t="s">
        <v>40</v>
      </c>
      <c r="S163" s="12">
        <v>22</v>
      </c>
      <c r="T163" s="14" t="s">
        <v>174</v>
      </c>
      <c r="U163" s="14" t="s">
        <v>755</v>
      </c>
      <c r="V163" s="17" t="s">
        <v>756</v>
      </c>
    </row>
    <row r="164" spans="1:22" ht="34.200000000000003" x14ac:dyDescent="0.3">
      <c r="A164" s="12">
        <v>148</v>
      </c>
      <c r="B164" s="13" t="s">
        <v>757</v>
      </c>
      <c r="C164" s="12" t="s">
        <v>726</v>
      </c>
      <c r="D164" s="12" t="s">
        <v>70</v>
      </c>
      <c r="E164" s="14" t="s">
        <v>758</v>
      </c>
      <c r="F164" s="14" t="s">
        <v>759</v>
      </c>
      <c r="G164" s="14" t="s">
        <v>268</v>
      </c>
      <c r="H164" s="14" t="s">
        <v>97</v>
      </c>
      <c r="I164" s="14" t="s">
        <v>58</v>
      </c>
      <c r="J164" s="12" t="s">
        <v>760</v>
      </c>
      <c r="K164" s="12" t="s">
        <v>60</v>
      </c>
      <c r="L164" s="15" t="s">
        <v>37</v>
      </c>
      <c r="M164" s="15" t="s">
        <v>37</v>
      </c>
      <c r="N164" s="14"/>
      <c r="O164" s="14" t="s">
        <v>486</v>
      </c>
      <c r="P164" s="12">
        <v>5</v>
      </c>
      <c r="Q164" s="19" t="s">
        <v>62</v>
      </c>
      <c r="R164" s="14" t="s">
        <v>40</v>
      </c>
      <c r="S164" s="12">
        <v>31</v>
      </c>
      <c r="T164" s="14" t="s">
        <v>138</v>
      </c>
      <c r="U164" s="14" t="s">
        <v>138</v>
      </c>
      <c r="V164" s="17" t="s">
        <v>761</v>
      </c>
    </row>
    <row r="165" spans="1:22" ht="34.200000000000003" x14ac:dyDescent="0.3">
      <c r="A165" s="12">
        <v>149</v>
      </c>
      <c r="B165" s="13" t="s">
        <v>762</v>
      </c>
      <c r="C165" s="12" t="s">
        <v>726</v>
      </c>
      <c r="D165" s="12" t="s">
        <v>224</v>
      </c>
      <c r="E165" s="14" t="s">
        <v>598</v>
      </c>
      <c r="F165" s="14" t="s">
        <v>599</v>
      </c>
      <c r="G165" s="14" t="s">
        <v>165</v>
      </c>
      <c r="H165" s="14" t="s">
        <v>152</v>
      </c>
      <c r="I165" s="14" t="s">
        <v>87</v>
      </c>
      <c r="J165" s="12" t="s">
        <v>269</v>
      </c>
      <c r="K165" s="12" t="s">
        <v>60</v>
      </c>
      <c r="L165" s="15" t="s">
        <v>37</v>
      </c>
      <c r="M165" s="15" t="s">
        <v>37</v>
      </c>
      <c r="N165" s="14"/>
      <c r="O165" s="14" t="s">
        <v>600</v>
      </c>
      <c r="P165" s="12">
        <v>9</v>
      </c>
      <c r="Q165" s="21" t="s">
        <v>136</v>
      </c>
      <c r="R165" s="14" t="s">
        <v>40</v>
      </c>
      <c r="S165" s="12">
        <v>1</v>
      </c>
      <c r="T165" s="14" t="s">
        <v>138</v>
      </c>
      <c r="U165" s="14" t="s">
        <v>733</v>
      </c>
      <c r="V165" s="17" t="s">
        <v>763</v>
      </c>
    </row>
    <row r="166" spans="1:22" ht="57" x14ac:dyDescent="0.3">
      <c r="A166" s="12">
        <v>150</v>
      </c>
      <c r="B166" s="13" t="s">
        <v>764</v>
      </c>
      <c r="C166" s="12" t="s">
        <v>726</v>
      </c>
      <c r="D166" s="12" t="s">
        <v>77</v>
      </c>
      <c r="E166" s="14" t="s">
        <v>765</v>
      </c>
      <c r="F166" s="14" t="s">
        <v>766</v>
      </c>
      <c r="G166" s="14" t="s">
        <v>97</v>
      </c>
      <c r="H166" s="14" t="s">
        <v>377</v>
      </c>
      <c r="I166" s="14" t="s">
        <v>87</v>
      </c>
      <c r="J166" s="12" t="s">
        <v>574</v>
      </c>
      <c r="K166" s="12" t="s">
        <v>60</v>
      </c>
      <c r="L166" s="15" t="s">
        <v>37</v>
      </c>
      <c r="M166" s="15" t="s">
        <v>37</v>
      </c>
      <c r="N166" s="14"/>
      <c r="O166" s="14" t="s">
        <v>61</v>
      </c>
      <c r="P166" s="12">
        <v>3</v>
      </c>
      <c r="Q166" s="19" t="s">
        <v>62</v>
      </c>
      <c r="R166" s="14" t="s">
        <v>40</v>
      </c>
      <c r="S166" s="12">
        <v>37</v>
      </c>
      <c r="T166" s="14" t="s">
        <v>138</v>
      </c>
      <c r="U166" s="14" t="s">
        <v>767</v>
      </c>
      <c r="V166" s="17" t="s">
        <v>768</v>
      </c>
    </row>
    <row r="167" spans="1:22" ht="45.6" x14ac:dyDescent="0.3">
      <c r="A167" s="12">
        <v>151</v>
      </c>
      <c r="B167" s="13" t="s">
        <v>769</v>
      </c>
      <c r="C167" s="12" t="s">
        <v>726</v>
      </c>
      <c r="D167" s="12" t="s">
        <v>255</v>
      </c>
      <c r="E167" s="14" t="s">
        <v>770</v>
      </c>
      <c r="F167" s="14" t="s">
        <v>771</v>
      </c>
      <c r="G167" s="14" t="s">
        <v>363</v>
      </c>
      <c r="H167" s="14" t="s">
        <v>57</v>
      </c>
      <c r="I167" s="14" t="s">
        <v>87</v>
      </c>
      <c r="J167" s="12" t="s">
        <v>772</v>
      </c>
      <c r="K167" s="12" t="s">
        <v>60</v>
      </c>
      <c r="L167" s="18" t="s">
        <v>60</v>
      </c>
      <c r="M167" s="18" t="s">
        <v>60</v>
      </c>
      <c r="N167" s="14"/>
      <c r="O167" s="14" t="s">
        <v>100</v>
      </c>
      <c r="P167" s="12">
        <v>11</v>
      </c>
      <c r="Q167" s="20" t="s">
        <v>101</v>
      </c>
      <c r="R167" s="14" t="s">
        <v>90</v>
      </c>
      <c r="S167" s="12">
        <v>9</v>
      </c>
      <c r="T167" s="14" t="s">
        <v>138</v>
      </c>
      <c r="U167" s="14" t="s">
        <v>773</v>
      </c>
      <c r="V167" s="17" t="s">
        <v>774</v>
      </c>
    </row>
    <row r="168" spans="1:22" ht="34.200000000000003" x14ac:dyDescent="0.3">
      <c r="A168" s="12">
        <v>152</v>
      </c>
      <c r="B168" s="13" t="s">
        <v>775</v>
      </c>
      <c r="C168" s="12" t="s">
        <v>726</v>
      </c>
      <c r="D168" s="12" t="s">
        <v>265</v>
      </c>
      <c r="E168" s="14" t="s">
        <v>776</v>
      </c>
      <c r="F168" s="14" t="s">
        <v>777</v>
      </c>
      <c r="G168" s="14" t="s">
        <v>57</v>
      </c>
      <c r="H168" s="14" t="s">
        <v>57</v>
      </c>
      <c r="I168" s="14" t="s">
        <v>98</v>
      </c>
      <c r="J168" s="12" t="s">
        <v>159</v>
      </c>
      <c r="K168" s="12" t="s">
        <v>60</v>
      </c>
      <c r="L168" s="18" t="s">
        <v>60</v>
      </c>
      <c r="M168" s="18" t="s">
        <v>60</v>
      </c>
      <c r="N168" s="14"/>
      <c r="O168" s="14" t="s">
        <v>199</v>
      </c>
      <c r="P168" s="12">
        <v>6</v>
      </c>
      <c r="Q168" s="21" t="s">
        <v>136</v>
      </c>
      <c r="R168" s="14" t="s">
        <v>40</v>
      </c>
      <c r="S168" s="12">
        <v>14</v>
      </c>
      <c r="T168" s="14" t="s">
        <v>64</v>
      </c>
      <c r="U168" s="14" t="s">
        <v>651</v>
      </c>
      <c r="V168" s="17" t="s">
        <v>778</v>
      </c>
    </row>
    <row r="169" spans="1:22" ht="22.8" x14ac:dyDescent="0.3">
      <c r="A169" s="12">
        <v>153</v>
      </c>
      <c r="B169" s="13" t="s">
        <v>779</v>
      </c>
      <c r="C169" s="12" t="s">
        <v>726</v>
      </c>
      <c r="D169" s="12" t="s">
        <v>265</v>
      </c>
      <c r="E169" s="14" t="s">
        <v>780</v>
      </c>
      <c r="F169" s="14" t="s">
        <v>781</v>
      </c>
      <c r="G169" s="14" t="s">
        <v>57</v>
      </c>
      <c r="H169" s="14" t="s">
        <v>57</v>
      </c>
      <c r="I169" s="14" t="s">
        <v>87</v>
      </c>
      <c r="J169" s="12" t="s">
        <v>206</v>
      </c>
      <c r="K169" s="12" t="s">
        <v>60</v>
      </c>
      <c r="L169" s="18" t="s">
        <v>60</v>
      </c>
      <c r="M169" s="18" t="s">
        <v>60</v>
      </c>
      <c r="N169" s="14"/>
      <c r="O169" s="14" t="s">
        <v>436</v>
      </c>
      <c r="P169" s="12">
        <v>10</v>
      </c>
      <c r="Q169" s="21" t="s">
        <v>136</v>
      </c>
      <c r="R169" s="14" t="s">
        <v>40</v>
      </c>
      <c r="S169" s="12">
        <v>6</v>
      </c>
      <c r="T169" s="14" t="s">
        <v>181</v>
      </c>
      <c r="U169" s="14" t="s">
        <v>782</v>
      </c>
      <c r="V169" s="17" t="s">
        <v>783</v>
      </c>
    </row>
    <row r="170" spans="1:22" ht="34.200000000000003" x14ac:dyDescent="0.3">
      <c r="A170" s="12">
        <v>154</v>
      </c>
      <c r="B170" s="13" t="s">
        <v>784</v>
      </c>
      <c r="C170" s="12" t="s">
        <v>726</v>
      </c>
      <c r="D170" s="12" t="s">
        <v>453</v>
      </c>
      <c r="E170" s="14" t="s">
        <v>785</v>
      </c>
      <c r="F170" s="14" t="s">
        <v>786</v>
      </c>
      <c r="G170" s="14" t="s">
        <v>57</v>
      </c>
      <c r="H170" s="14" t="s">
        <v>268</v>
      </c>
      <c r="I170" s="14" t="s">
        <v>58</v>
      </c>
      <c r="J170" s="12" t="s">
        <v>787</v>
      </c>
      <c r="K170" s="12" t="s">
        <v>60</v>
      </c>
      <c r="L170" s="18" t="s">
        <v>60</v>
      </c>
      <c r="M170" s="15" t="s">
        <v>37</v>
      </c>
      <c r="N170" s="14"/>
      <c r="O170" s="14" t="s">
        <v>788</v>
      </c>
      <c r="P170" s="12">
        <v>12</v>
      </c>
      <c r="Q170" s="20" t="s">
        <v>101</v>
      </c>
      <c r="R170" s="14" t="s">
        <v>40</v>
      </c>
      <c r="S170" s="12">
        <v>2</v>
      </c>
      <c r="T170" s="14" t="s">
        <v>174</v>
      </c>
      <c r="U170" s="14" t="s">
        <v>300</v>
      </c>
      <c r="V170" s="17" t="s">
        <v>789</v>
      </c>
    </row>
    <row r="171" spans="1:22" x14ac:dyDescent="0.3">
      <c r="A171" s="12">
        <v>155</v>
      </c>
      <c r="B171" s="13" t="s">
        <v>790</v>
      </c>
      <c r="C171" s="12" t="s">
        <v>726</v>
      </c>
      <c r="D171" s="12" t="s">
        <v>460</v>
      </c>
      <c r="E171" s="14" t="s">
        <v>34</v>
      </c>
      <c r="F171" s="14" t="s">
        <v>34</v>
      </c>
      <c r="G171" s="14" t="s">
        <v>35</v>
      </c>
      <c r="H171" s="14" t="s">
        <v>35</v>
      </c>
      <c r="I171" s="14" t="s">
        <v>36</v>
      </c>
      <c r="J171" s="12" t="s">
        <v>34</v>
      </c>
      <c r="K171" s="12" t="s">
        <v>34</v>
      </c>
      <c r="L171" s="15" t="s">
        <v>37</v>
      </c>
      <c r="M171" s="15" t="s">
        <v>37</v>
      </c>
      <c r="N171" s="14"/>
      <c r="O171" s="14" t="s">
        <v>38</v>
      </c>
      <c r="P171" s="12" t="s">
        <v>34</v>
      </c>
      <c r="Q171" s="16" t="s">
        <v>39</v>
      </c>
      <c r="R171" s="14" t="s">
        <v>40</v>
      </c>
      <c r="S171" s="12">
        <v>0</v>
      </c>
      <c r="T171" s="14" t="s">
        <v>41</v>
      </c>
      <c r="U171" s="14" t="s">
        <v>41</v>
      </c>
      <c r="V171" s="17"/>
    </row>
    <row r="172" spans="1:22" ht="22.8" x14ac:dyDescent="0.3">
      <c r="A172" s="12">
        <v>156</v>
      </c>
      <c r="B172" s="13" t="s">
        <v>791</v>
      </c>
      <c r="C172" s="12" t="s">
        <v>726</v>
      </c>
      <c r="D172" s="12" t="s">
        <v>657</v>
      </c>
      <c r="E172" s="14" t="s">
        <v>792</v>
      </c>
      <c r="F172" s="14" t="s">
        <v>793</v>
      </c>
      <c r="G172" s="14" t="s">
        <v>57</v>
      </c>
      <c r="H172" s="14" t="s">
        <v>268</v>
      </c>
      <c r="I172" s="14" t="s">
        <v>87</v>
      </c>
      <c r="J172" s="12" t="s">
        <v>279</v>
      </c>
      <c r="K172" s="12" t="s">
        <v>60</v>
      </c>
      <c r="L172" s="15" t="s">
        <v>37</v>
      </c>
      <c r="M172" s="15" t="s">
        <v>37</v>
      </c>
      <c r="N172" s="14"/>
      <c r="O172" s="14" t="s">
        <v>556</v>
      </c>
      <c r="P172" s="12">
        <v>9</v>
      </c>
      <c r="Q172" s="21" t="s">
        <v>136</v>
      </c>
      <c r="R172" s="14" t="s">
        <v>40</v>
      </c>
      <c r="S172" s="12">
        <v>10</v>
      </c>
      <c r="T172" s="14" t="s">
        <v>138</v>
      </c>
      <c r="U172" s="14" t="s">
        <v>138</v>
      </c>
      <c r="V172" s="17" t="s">
        <v>794</v>
      </c>
    </row>
    <row r="173" spans="1:22" ht="22.8" x14ac:dyDescent="0.3">
      <c r="A173" s="12">
        <v>157</v>
      </c>
      <c r="B173" s="13" t="s">
        <v>795</v>
      </c>
      <c r="C173" s="12" t="s">
        <v>726</v>
      </c>
      <c r="D173" s="12" t="s">
        <v>307</v>
      </c>
      <c r="E173" s="14" t="s">
        <v>796</v>
      </c>
      <c r="F173" s="14" t="s">
        <v>797</v>
      </c>
      <c r="G173" s="14" t="s">
        <v>165</v>
      </c>
      <c r="H173" s="14" t="s">
        <v>165</v>
      </c>
      <c r="I173" s="14" t="s">
        <v>58</v>
      </c>
      <c r="J173" s="12" t="s">
        <v>760</v>
      </c>
      <c r="K173" s="12" t="s">
        <v>60</v>
      </c>
      <c r="L173" s="15" t="s">
        <v>37</v>
      </c>
      <c r="M173" s="15" t="s">
        <v>37</v>
      </c>
      <c r="N173" s="14"/>
      <c r="O173" s="14" t="s">
        <v>798</v>
      </c>
      <c r="P173" s="12">
        <v>11</v>
      </c>
      <c r="Q173" s="20" t="s">
        <v>101</v>
      </c>
      <c r="R173" s="14" t="s">
        <v>40</v>
      </c>
      <c r="S173" s="12">
        <v>28</v>
      </c>
      <c r="T173" s="14" t="s">
        <v>200</v>
      </c>
      <c r="U173" s="14" t="s">
        <v>200</v>
      </c>
      <c r="V173" s="17" t="s">
        <v>799</v>
      </c>
    </row>
    <row r="174" spans="1:22" x14ac:dyDescent="0.3">
      <c r="A174" s="12">
        <v>158</v>
      </c>
      <c r="B174" s="13" t="s">
        <v>800</v>
      </c>
      <c r="C174" s="12" t="s">
        <v>726</v>
      </c>
      <c r="D174" s="12" t="s">
        <v>699</v>
      </c>
      <c r="E174" s="14" t="s">
        <v>34</v>
      </c>
      <c r="F174" s="14" t="s">
        <v>34</v>
      </c>
      <c r="G174" s="14" t="s">
        <v>35</v>
      </c>
      <c r="H174" s="14" t="s">
        <v>35</v>
      </c>
      <c r="I174" s="14" t="s">
        <v>36</v>
      </c>
      <c r="J174" s="12" t="s">
        <v>34</v>
      </c>
      <c r="K174" s="12" t="s">
        <v>34</v>
      </c>
      <c r="L174" s="15" t="s">
        <v>37</v>
      </c>
      <c r="M174" s="15" t="s">
        <v>37</v>
      </c>
      <c r="N174" s="14"/>
      <c r="O174" s="14" t="s">
        <v>38</v>
      </c>
      <c r="P174" s="12" t="s">
        <v>34</v>
      </c>
      <c r="Q174" s="16" t="s">
        <v>39</v>
      </c>
      <c r="R174" s="14" t="s">
        <v>40</v>
      </c>
      <c r="S174" s="12">
        <v>0</v>
      </c>
      <c r="T174" s="14" t="s">
        <v>41</v>
      </c>
      <c r="U174" s="14" t="s">
        <v>41</v>
      </c>
      <c r="V174" s="17"/>
    </row>
    <row r="175" spans="1:22" x14ac:dyDescent="0.3">
      <c r="A175" s="12">
        <v>159</v>
      </c>
      <c r="B175" s="13" t="s">
        <v>790</v>
      </c>
      <c r="C175" s="12" t="s">
        <v>726</v>
      </c>
      <c r="D175" s="12" t="s">
        <v>321</v>
      </c>
      <c r="E175" s="14" t="s">
        <v>34</v>
      </c>
      <c r="F175" s="14" t="s">
        <v>34</v>
      </c>
      <c r="G175" s="14" t="s">
        <v>35</v>
      </c>
      <c r="H175" s="14" t="s">
        <v>35</v>
      </c>
      <c r="I175" s="14" t="s">
        <v>36</v>
      </c>
      <c r="J175" s="12" t="s">
        <v>34</v>
      </c>
      <c r="K175" s="12" t="s">
        <v>34</v>
      </c>
      <c r="L175" s="15" t="s">
        <v>37</v>
      </c>
      <c r="M175" s="15" t="s">
        <v>37</v>
      </c>
      <c r="N175" s="14"/>
      <c r="O175" s="14" t="s">
        <v>38</v>
      </c>
      <c r="P175" s="12" t="s">
        <v>34</v>
      </c>
      <c r="Q175" s="16" t="s">
        <v>39</v>
      </c>
      <c r="R175" s="14" t="s">
        <v>40</v>
      </c>
      <c r="S175" s="12">
        <v>0</v>
      </c>
      <c r="T175" s="14" t="s">
        <v>41</v>
      </c>
      <c r="U175" s="14" t="s">
        <v>41</v>
      </c>
      <c r="V175" s="17"/>
    </row>
    <row r="176" spans="1:22" ht="34.200000000000003" x14ac:dyDescent="0.3">
      <c r="A176" s="12">
        <v>160</v>
      </c>
      <c r="B176" s="13" t="s">
        <v>801</v>
      </c>
      <c r="C176" s="12" t="s">
        <v>726</v>
      </c>
      <c r="D176" s="12" t="s">
        <v>802</v>
      </c>
      <c r="E176" s="14" t="s">
        <v>803</v>
      </c>
      <c r="F176" s="14" t="s">
        <v>804</v>
      </c>
      <c r="G176" s="14" t="s">
        <v>57</v>
      </c>
      <c r="H176" s="14" t="s">
        <v>268</v>
      </c>
      <c r="I176" s="14" t="s">
        <v>98</v>
      </c>
      <c r="J176" s="12" t="s">
        <v>383</v>
      </c>
      <c r="K176" s="12" t="s">
        <v>60</v>
      </c>
      <c r="L176" s="18" t="s">
        <v>60</v>
      </c>
      <c r="M176" s="18" t="s">
        <v>60</v>
      </c>
      <c r="N176" s="14"/>
      <c r="O176" s="14" t="s">
        <v>61</v>
      </c>
      <c r="P176" s="12">
        <v>3</v>
      </c>
      <c r="Q176" s="19" t="s">
        <v>62</v>
      </c>
      <c r="R176" s="14" t="s">
        <v>708</v>
      </c>
      <c r="S176" s="12">
        <v>37</v>
      </c>
      <c r="T176" s="14" t="s">
        <v>41</v>
      </c>
      <c r="U176" s="14" t="s">
        <v>41</v>
      </c>
      <c r="V176" s="17" t="s">
        <v>805</v>
      </c>
    </row>
    <row r="177" spans="1:22" ht="22.8" x14ac:dyDescent="0.3">
      <c r="A177" s="12">
        <v>161</v>
      </c>
      <c r="B177" s="13" t="s">
        <v>806</v>
      </c>
      <c r="C177" s="12" t="s">
        <v>726</v>
      </c>
      <c r="D177" s="12" t="s">
        <v>336</v>
      </c>
      <c r="E177" s="14" t="s">
        <v>807</v>
      </c>
      <c r="F177" s="14" t="s">
        <v>808</v>
      </c>
      <c r="G177" s="14" t="s">
        <v>57</v>
      </c>
      <c r="H177" s="14" t="s">
        <v>57</v>
      </c>
      <c r="I177" s="14" t="s">
        <v>87</v>
      </c>
      <c r="J177" s="12" t="s">
        <v>206</v>
      </c>
      <c r="K177" s="12" t="s">
        <v>60</v>
      </c>
      <c r="L177" s="15" t="s">
        <v>37</v>
      </c>
      <c r="M177" s="15" t="s">
        <v>37</v>
      </c>
      <c r="N177" s="14"/>
      <c r="O177" s="14" t="s">
        <v>199</v>
      </c>
      <c r="P177" s="12">
        <v>6</v>
      </c>
      <c r="Q177" s="21" t="s">
        <v>136</v>
      </c>
      <c r="R177" s="14" t="s">
        <v>40</v>
      </c>
      <c r="S177" s="12">
        <v>14</v>
      </c>
      <c r="T177" s="14" t="s">
        <v>367</v>
      </c>
      <c r="U177" s="14" t="s">
        <v>368</v>
      </c>
      <c r="V177" s="17" t="s">
        <v>809</v>
      </c>
    </row>
    <row r="178" spans="1:22" ht="34.200000000000003" x14ac:dyDescent="0.3">
      <c r="A178" s="12">
        <v>162</v>
      </c>
      <c r="B178" s="13" t="s">
        <v>810</v>
      </c>
      <c r="C178" s="12" t="s">
        <v>726</v>
      </c>
      <c r="D178" s="12" t="s">
        <v>353</v>
      </c>
      <c r="E178" s="14" t="s">
        <v>811</v>
      </c>
      <c r="F178" s="14" t="s">
        <v>812</v>
      </c>
      <c r="G178" s="14" t="s">
        <v>57</v>
      </c>
      <c r="H178" s="14" t="s">
        <v>57</v>
      </c>
      <c r="I178" s="14" t="s">
        <v>98</v>
      </c>
      <c r="J178" s="12" t="s">
        <v>159</v>
      </c>
      <c r="K178" s="12" t="s">
        <v>60</v>
      </c>
      <c r="L178" s="18" t="s">
        <v>60</v>
      </c>
      <c r="M178" s="18" t="s">
        <v>60</v>
      </c>
      <c r="N178" s="14"/>
      <c r="O178" s="14" t="s">
        <v>89</v>
      </c>
      <c r="P178" s="12">
        <v>1</v>
      </c>
      <c r="Q178" s="19" t="s">
        <v>62</v>
      </c>
      <c r="R178" s="14" t="s">
        <v>90</v>
      </c>
      <c r="S178" s="12">
        <v>13</v>
      </c>
      <c r="T178" s="14" t="s">
        <v>174</v>
      </c>
      <c r="U178" s="14" t="s">
        <v>755</v>
      </c>
      <c r="V178" s="17" t="s">
        <v>813</v>
      </c>
    </row>
    <row r="179" spans="1:22" ht="22.8" x14ac:dyDescent="0.3">
      <c r="A179" s="12">
        <v>163</v>
      </c>
      <c r="B179" s="13" t="s">
        <v>814</v>
      </c>
      <c r="C179" s="12" t="s">
        <v>726</v>
      </c>
      <c r="D179" s="12" t="s">
        <v>360</v>
      </c>
      <c r="E179" s="14" t="s">
        <v>815</v>
      </c>
      <c r="F179" s="14" t="s">
        <v>816</v>
      </c>
      <c r="G179" s="14" t="s">
        <v>57</v>
      </c>
      <c r="H179" s="14" t="s">
        <v>57</v>
      </c>
      <c r="I179" s="14" t="s">
        <v>87</v>
      </c>
      <c r="J179" s="12" t="s">
        <v>206</v>
      </c>
      <c r="K179" s="12" t="s">
        <v>60</v>
      </c>
      <c r="L179" s="15" t="s">
        <v>37</v>
      </c>
      <c r="M179" s="15" t="s">
        <v>37</v>
      </c>
      <c r="N179" s="14"/>
      <c r="O179" s="14" t="s">
        <v>318</v>
      </c>
      <c r="P179" s="12">
        <v>12</v>
      </c>
      <c r="Q179" s="20" t="s">
        <v>101</v>
      </c>
      <c r="R179" s="14" t="s">
        <v>40</v>
      </c>
      <c r="S179" s="12">
        <v>17</v>
      </c>
      <c r="T179" s="14" t="s">
        <v>41</v>
      </c>
      <c r="U179" s="14" t="s">
        <v>41</v>
      </c>
      <c r="V179" s="17" t="s">
        <v>817</v>
      </c>
    </row>
    <row r="181" spans="1:22" x14ac:dyDescent="0.3">
      <c r="A181" s="10" t="s">
        <v>818</v>
      </c>
      <c r="B181" s="11"/>
      <c r="C181" s="11"/>
      <c r="D181" s="11"/>
      <c r="E181" s="11"/>
      <c r="F181" s="11"/>
      <c r="G181" s="11"/>
      <c r="H181" s="11"/>
      <c r="I181" s="11"/>
      <c r="J181" s="11"/>
      <c r="K181" s="11"/>
      <c r="L181" s="11"/>
      <c r="M181" s="11"/>
      <c r="N181" s="11"/>
      <c r="O181" s="11"/>
      <c r="P181" s="11"/>
      <c r="Q181" s="11"/>
      <c r="R181" s="11"/>
      <c r="S181" s="11"/>
      <c r="T181" s="11"/>
      <c r="U181" s="11"/>
      <c r="V181" s="11"/>
    </row>
    <row r="182" spans="1:22" ht="45.6" x14ac:dyDescent="0.3">
      <c r="A182" s="12">
        <v>164</v>
      </c>
      <c r="B182" s="13" t="s">
        <v>819</v>
      </c>
      <c r="C182" s="12" t="s">
        <v>820</v>
      </c>
      <c r="D182" s="12" t="s">
        <v>33</v>
      </c>
      <c r="E182" s="14" t="s">
        <v>821</v>
      </c>
      <c r="F182" s="14" t="s">
        <v>822</v>
      </c>
      <c r="G182" s="14" t="s">
        <v>57</v>
      </c>
      <c r="H182" s="14" t="s">
        <v>57</v>
      </c>
      <c r="I182" s="14" t="s">
        <v>98</v>
      </c>
      <c r="J182" s="12" t="s">
        <v>99</v>
      </c>
      <c r="K182" s="12" t="s">
        <v>60</v>
      </c>
      <c r="L182" s="18" t="s">
        <v>60</v>
      </c>
      <c r="M182" s="18" t="s">
        <v>60</v>
      </c>
      <c r="N182" s="14"/>
      <c r="O182" s="14" t="s">
        <v>583</v>
      </c>
      <c r="P182" s="12">
        <v>5</v>
      </c>
      <c r="Q182" s="19" t="s">
        <v>62</v>
      </c>
      <c r="R182" s="14" t="s">
        <v>823</v>
      </c>
      <c r="S182" s="12">
        <v>15</v>
      </c>
      <c r="T182" s="14" t="s">
        <v>64</v>
      </c>
      <c r="U182" s="14" t="s">
        <v>824</v>
      </c>
      <c r="V182" s="17" t="s">
        <v>825</v>
      </c>
    </row>
    <row r="183" spans="1:22" ht="22.8" x14ac:dyDescent="0.3">
      <c r="A183" s="12">
        <v>165</v>
      </c>
      <c r="B183" s="13" t="s">
        <v>826</v>
      </c>
      <c r="C183" s="12" t="s">
        <v>820</v>
      </c>
      <c r="D183" s="12" t="s">
        <v>33</v>
      </c>
      <c r="E183" s="14" t="s">
        <v>827</v>
      </c>
      <c r="F183" s="14" t="s">
        <v>569</v>
      </c>
      <c r="G183" s="14" t="s">
        <v>57</v>
      </c>
      <c r="H183" s="14" t="s">
        <v>86</v>
      </c>
      <c r="I183" s="14" t="s">
        <v>212</v>
      </c>
      <c r="J183" s="12" t="s">
        <v>258</v>
      </c>
      <c r="K183" s="12" t="s">
        <v>60</v>
      </c>
      <c r="L183" s="18" t="s">
        <v>60</v>
      </c>
      <c r="M183" s="18" t="s">
        <v>60</v>
      </c>
      <c r="N183" s="14"/>
      <c r="O183" s="14" t="s">
        <v>61</v>
      </c>
      <c r="P183" s="12">
        <v>3</v>
      </c>
      <c r="Q183" s="19" t="s">
        <v>62</v>
      </c>
      <c r="R183" s="14" t="s">
        <v>40</v>
      </c>
      <c r="S183" s="12">
        <v>37</v>
      </c>
      <c r="T183" s="14" t="s">
        <v>174</v>
      </c>
      <c r="U183" s="14" t="s">
        <v>828</v>
      </c>
      <c r="V183" s="17" t="s">
        <v>829</v>
      </c>
    </row>
    <row r="184" spans="1:22" ht="34.200000000000003" x14ac:dyDescent="0.3">
      <c r="A184" s="12">
        <v>166</v>
      </c>
      <c r="B184" s="13" t="s">
        <v>830</v>
      </c>
      <c r="C184" s="12" t="s">
        <v>820</v>
      </c>
      <c r="D184" s="12" t="s">
        <v>33</v>
      </c>
      <c r="E184" s="14" t="s">
        <v>831</v>
      </c>
      <c r="F184" s="14" t="s">
        <v>832</v>
      </c>
      <c r="G184" s="14" t="s">
        <v>57</v>
      </c>
      <c r="H184" s="14" t="s">
        <v>57</v>
      </c>
      <c r="I184" s="14" t="s">
        <v>87</v>
      </c>
      <c r="J184" s="12" t="s">
        <v>206</v>
      </c>
      <c r="K184" s="12" t="s">
        <v>60</v>
      </c>
      <c r="L184" s="15" t="s">
        <v>37</v>
      </c>
      <c r="M184" s="15" t="s">
        <v>37</v>
      </c>
      <c r="N184" s="14"/>
      <c r="O184" s="14" t="s">
        <v>833</v>
      </c>
      <c r="P184" s="12">
        <v>12</v>
      </c>
      <c r="Q184" s="20" t="s">
        <v>101</v>
      </c>
      <c r="R184" s="14" t="s">
        <v>40</v>
      </c>
      <c r="S184" s="12">
        <v>18</v>
      </c>
      <c r="T184" s="14" t="s">
        <v>367</v>
      </c>
      <c r="U184" s="14" t="s">
        <v>834</v>
      </c>
      <c r="V184" s="17" t="s">
        <v>835</v>
      </c>
    </row>
    <row r="185" spans="1:22" ht="45.6" x14ac:dyDescent="0.3">
      <c r="A185" s="12">
        <v>167</v>
      </c>
      <c r="B185" s="13" t="s">
        <v>836</v>
      </c>
      <c r="C185" s="12" t="s">
        <v>820</v>
      </c>
      <c r="D185" s="12" t="s">
        <v>49</v>
      </c>
      <c r="E185" s="14" t="s">
        <v>837</v>
      </c>
      <c r="F185" s="14" t="s">
        <v>838</v>
      </c>
      <c r="G185" s="14" t="s">
        <v>57</v>
      </c>
      <c r="H185" s="14" t="s">
        <v>86</v>
      </c>
      <c r="I185" s="14" t="s">
        <v>98</v>
      </c>
      <c r="J185" s="12" t="s">
        <v>414</v>
      </c>
      <c r="K185" s="12" t="s">
        <v>60</v>
      </c>
      <c r="L185" s="15" t="s">
        <v>37</v>
      </c>
      <c r="M185" s="15" t="s">
        <v>37</v>
      </c>
      <c r="N185" s="14"/>
      <c r="O185" s="14" t="s">
        <v>583</v>
      </c>
      <c r="P185" s="12">
        <v>5</v>
      </c>
      <c r="Q185" s="19" t="s">
        <v>62</v>
      </c>
      <c r="R185" s="14" t="s">
        <v>839</v>
      </c>
      <c r="S185" s="12">
        <v>15</v>
      </c>
      <c r="T185" s="14" t="s">
        <v>174</v>
      </c>
      <c r="U185" s="14" t="s">
        <v>840</v>
      </c>
      <c r="V185" s="17" t="s">
        <v>841</v>
      </c>
    </row>
    <row r="186" spans="1:22" ht="45.6" x14ac:dyDescent="0.3">
      <c r="A186" s="12">
        <v>168</v>
      </c>
      <c r="B186" s="13" t="s">
        <v>836</v>
      </c>
      <c r="C186" s="12" t="s">
        <v>820</v>
      </c>
      <c r="D186" s="12" t="s">
        <v>49</v>
      </c>
      <c r="E186" s="14" t="s">
        <v>837</v>
      </c>
      <c r="F186" s="14" t="s">
        <v>838</v>
      </c>
      <c r="G186" s="14" t="s">
        <v>57</v>
      </c>
      <c r="H186" s="14" t="s">
        <v>86</v>
      </c>
      <c r="I186" s="14" t="s">
        <v>98</v>
      </c>
      <c r="J186" s="12" t="s">
        <v>414</v>
      </c>
      <c r="K186" s="12" t="s">
        <v>60</v>
      </c>
      <c r="L186" s="15" t="s">
        <v>37</v>
      </c>
      <c r="M186" s="15" t="s">
        <v>37</v>
      </c>
      <c r="N186" s="14"/>
      <c r="O186" s="14" t="s">
        <v>583</v>
      </c>
      <c r="P186" s="12">
        <v>5</v>
      </c>
      <c r="Q186" s="19" t="s">
        <v>62</v>
      </c>
      <c r="R186" s="14" t="s">
        <v>839</v>
      </c>
      <c r="S186" s="12">
        <v>15</v>
      </c>
      <c r="T186" s="14" t="s">
        <v>174</v>
      </c>
      <c r="U186" s="14" t="s">
        <v>840</v>
      </c>
      <c r="V186" s="17" t="s">
        <v>842</v>
      </c>
    </row>
    <row r="187" spans="1:22" ht="22.8" x14ac:dyDescent="0.3">
      <c r="A187" s="12">
        <v>169</v>
      </c>
      <c r="B187" s="13" t="s">
        <v>843</v>
      </c>
      <c r="C187" s="12" t="s">
        <v>820</v>
      </c>
      <c r="D187" s="12" t="s">
        <v>51</v>
      </c>
      <c r="E187" s="14" t="s">
        <v>844</v>
      </c>
      <c r="F187" s="14" t="s">
        <v>845</v>
      </c>
      <c r="G187" s="14" t="s">
        <v>57</v>
      </c>
      <c r="H187" s="14" t="s">
        <v>57</v>
      </c>
      <c r="I187" s="14" t="s">
        <v>87</v>
      </c>
      <c r="J187" s="12" t="s">
        <v>206</v>
      </c>
      <c r="K187" s="12" t="s">
        <v>60</v>
      </c>
      <c r="L187" s="15" t="s">
        <v>37</v>
      </c>
      <c r="M187" s="15" t="s">
        <v>37</v>
      </c>
      <c r="N187" s="14"/>
      <c r="O187" s="14" t="s">
        <v>135</v>
      </c>
      <c r="P187" s="12">
        <v>9</v>
      </c>
      <c r="Q187" s="21" t="s">
        <v>136</v>
      </c>
      <c r="R187" s="14" t="s">
        <v>40</v>
      </c>
      <c r="S187" s="12">
        <v>51</v>
      </c>
      <c r="T187" s="14" t="s">
        <v>200</v>
      </c>
      <c r="U187" s="14" t="s">
        <v>200</v>
      </c>
      <c r="V187" s="17" t="s">
        <v>846</v>
      </c>
    </row>
    <row r="188" spans="1:22" x14ac:dyDescent="0.3">
      <c r="A188" s="12">
        <v>170</v>
      </c>
      <c r="B188" s="13" t="s">
        <v>847</v>
      </c>
      <c r="C188" s="12" t="s">
        <v>820</v>
      </c>
      <c r="D188" s="12" t="s">
        <v>70</v>
      </c>
      <c r="E188" s="14" t="s">
        <v>34</v>
      </c>
      <c r="F188" s="14" t="s">
        <v>34</v>
      </c>
      <c r="G188" s="14" t="s">
        <v>35</v>
      </c>
      <c r="H188" s="14" t="s">
        <v>35</v>
      </c>
      <c r="I188" s="14" t="s">
        <v>36</v>
      </c>
      <c r="J188" s="12" t="s">
        <v>34</v>
      </c>
      <c r="K188" s="12" t="s">
        <v>34</v>
      </c>
      <c r="L188" s="15" t="s">
        <v>37</v>
      </c>
      <c r="M188" s="15" t="s">
        <v>37</v>
      </c>
      <c r="N188" s="14"/>
      <c r="O188" s="14" t="s">
        <v>38</v>
      </c>
      <c r="P188" s="12" t="s">
        <v>34</v>
      </c>
      <c r="Q188" s="16" t="s">
        <v>39</v>
      </c>
      <c r="R188" s="14" t="s">
        <v>40</v>
      </c>
      <c r="S188" s="12">
        <v>0</v>
      </c>
      <c r="T188" s="14" t="s">
        <v>41</v>
      </c>
      <c r="U188" s="14" t="s">
        <v>41</v>
      </c>
      <c r="V188" s="17"/>
    </row>
    <row r="189" spans="1:22" ht="34.200000000000003" x14ac:dyDescent="0.3">
      <c r="A189" s="12">
        <v>171</v>
      </c>
      <c r="B189" s="13" t="s">
        <v>848</v>
      </c>
      <c r="C189" s="12" t="s">
        <v>820</v>
      </c>
      <c r="D189" s="12" t="s">
        <v>70</v>
      </c>
      <c r="E189" s="14" t="s">
        <v>849</v>
      </c>
      <c r="F189" s="14" t="s">
        <v>850</v>
      </c>
      <c r="G189" s="14" t="s">
        <v>57</v>
      </c>
      <c r="H189" s="14" t="s">
        <v>86</v>
      </c>
      <c r="I189" s="14" t="s">
        <v>87</v>
      </c>
      <c r="J189" s="12" t="s">
        <v>539</v>
      </c>
      <c r="K189" s="12" t="s">
        <v>60</v>
      </c>
      <c r="L189" s="18" t="s">
        <v>60</v>
      </c>
      <c r="M189" s="18" t="s">
        <v>60</v>
      </c>
      <c r="N189" s="14"/>
      <c r="O189" s="14" t="s">
        <v>135</v>
      </c>
      <c r="P189" s="12">
        <v>9</v>
      </c>
      <c r="Q189" s="21" t="s">
        <v>136</v>
      </c>
      <c r="R189" s="14" t="s">
        <v>173</v>
      </c>
      <c r="S189" s="12">
        <v>51</v>
      </c>
      <c r="T189" s="14" t="s">
        <v>138</v>
      </c>
      <c r="U189" s="14" t="s">
        <v>851</v>
      </c>
      <c r="V189" s="17" t="s">
        <v>852</v>
      </c>
    </row>
    <row r="190" spans="1:22" x14ac:dyDescent="0.3">
      <c r="A190" s="12">
        <v>172</v>
      </c>
      <c r="B190" s="13" t="s">
        <v>853</v>
      </c>
      <c r="C190" s="12" t="s">
        <v>820</v>
      </c>
      <c r="D190" s="12" t="s">
        <v>224</v>
      </c>
      <c r="E190" s="14" t="s">
        <v>854</v>
      </c>
      <c r="F190" s="14" t="s">
        <v>855</v>
      </c>
      <c r="G190" s="14" t="s">
        <v>268</v>
      </c>
      <c r="H190" s="14" t="s">
        <v>165</v>
      </c>
      <c r="I190" s="14" t="s">
        <v>87</v>
      </c>
      <c r="J190" s="12" t="s">
        <v>166</v>
      </c>
      <c r="K190" s="12" t="s">
        <v>60</v>
      </c>
      <c r="L190" s="15" t="s">
        <v>37</v>
      </c>
      <c r="M190" s="15" t="s">
        <v>37</v>
      </c>
      <c r="N190" s="14"/>
      <c r="O190" s="14" t="s">
        <v>38</v>
      </c>
      <c r="P190" s="12" t="s">
        <v>34</v>
      </c>
      <c r="Q190" s="16" t="s">
        <v>39</v>
      </c>
      <c r="R190" s="14" t="s">
        <v>40</v>
      </c>
      <c r="S190" s="12">
        <v>0</v>
      </c>
      <c r="T190" s="14" t="s">
        <v>41</v>
      </c>
      <c r="U190" s="14" t="s">
        <v>41</v>
      </c>
      <c r="V190" s="17" t="s">
        <v>856</v>
      </c>
    </row>
    <row r="191" spans="1:22" x14ac:dyDescent="0.3">
      <c r="A191" s="12">
        <v>173</v>
      </c>
      <c r="B191" s="13" t="s">
        <v>857</v>
      </c>
      <c r="C191" s="12" t="s">
        <v>820</v>
      </c>
      <c r="D191" s="12" t="s">
        <v>75</v>
      </c>
      <c r="E191" s="14" t="s">
        <v>34</v>
      </c>
      <c r="F191" s="14" t="s">
        <v>34</v>
      </c>
      <c r="G191" s="14" t="s">
        <v>35</v>
      </c>
      <c r="H191" s="14" t="s">
        <v>35</v>
      </c>
      <c r="I191" s="14" t="s">
        <v>36</v>
      </c>
      <c r="J191" s="12" t="s">
        <v>34</v>
      </c>
      <c r="K191" s="12" t="s">
        <v>34</v>
      </c>
      <c r="L191" s="15" t="s">
        <v>37</v>
      </c>
      <c r="M191" s="15" t="s">
        <v>37</v>
      </c>
      <c r="N191" s="14"/>
      <c r="O191" s="14" t="s">
        <v>38</v>
      </c>
      <c r="P191" s="12" t="s">
        <v>34</v>
      </c>
      <c r="Q191" s="16" t="s">
        <v>39</v>
      </c>
      <c r="R191" s="14" t="s">
        <v>40</v>
      </c>
      <c r="S191" s="12">
        <v>0</v>
      </c>
      <c r="T191" s="14" t="s">
        <v>41</v>
      </c>
      <c r="U191" s="14" t="s">
        <v>41</v>
      </c>
      <c r="V191" s="17"/>
    </row>
    <row r="192" spans="1:22" x14ac:dyDescent="0.3">
      <c r="A192" s="12">
        <v>174</v>
      </c>
      <c r="B192" s="13" t="s">
        <v>858</v>
      </c>
      <c r="C192" s="12" t="s">
        <v>820</v>
      </c>
      <c r="D192" s="12" t="s">
        <v>79</v>
      </c>
      <c r="E192" s="14" t="s">
        <v>34</v>
      </c>
      <c r="F192" s="14" t="s">
        <v>34</v>
      </c>
      <c r="G192" s="14" t="s">
        <v>35</v>
      </c>
      <c r="H192" s="14" t="s">
        <v>35</v>
      </c>
      <c r="I192" s="14" t="s">
        <v>36</v>
      </c>
      <c r="J192" s="12" t="s">
        <v>34</v>
      </c>
      <c r="K192" s="12" t="s">
        <v>34</v>
      </c>
      <c r="L192" s="15" t="s">
        <v>37</v>
      </c>
      <c r="M192" s="15" t="s">
        <v>37</v>
      </c>
      <c r="N192" s="14"/>
      <c r="O192" s="14" t="s">
        <v>38</v>
      </c>
      <c r="P192" s="12" t="s">
        <v>34</v>
      </c>
      <c r="Q192" s="16" t="s">
        <v>39</v>
      </c>
      <c r="R192" s="14" t="s">
        <v>40</v>
      </c>
      <c r="S192" s="12">
        <v>0</v>
      </c>
      <c r="T192" s="14" t="s">
        <v>41</v>
      </c>
      <c r="U192" s="14" t="s">
        <v>41</v>
      </c>
      <c r="V192" s="17"/>
    </row>
    <row r="193" spans="1:22" ht="34.200000000000003" x14ac:dyDescent="0.3">
      <c r="A193" s="12">
        <v>175</v>
      </c>
      <c r="B193" s="13" t="s">
        <v>859</v>
      </c>
      <c r="C193" s="12" t="s">
        <v>820</v>
      </c>
      <c r="D193" s="12" t="s">
        <v>288</v>
      </c>
      <c r="E193" s="14" t="s">
        <v>860</v>
      </c>
      <c r="F193" s="14" t="s">
        <v>861</v>
      </c>
      <c r="G193" s="14" t="s">
        <v>57</v>
      </c>
      <c r="H193" s="14" t="s">
        <v>165</v>
      </c>
      <c r="I193" s="14" t="s">
        <v>58</v>
      </c>
      <c r="J193" s="12" t="s">
        <v>862</v>
      </c>
      <c r="K193" s="12" t="s">
        <v>60</v>
      </c>
      <c r="L193" s="15" t="s">
        <v>37</v>
      </c>
      <c r="M193" s="15" t="s">
        <v>37</v>
      </c>
      <c r="N193" s="14"/>
      <c r="O193" s="14" t="s">
        <v>583</v>
      </c>
      <c r="P193" s="12">
        <v>5</v>
      </c>
      <c r="Q193" s="19" t="s">
        <v>62</v>
      </c>
      <c r="R193" s="14" t="s">
        <v>40</v>
      </c>
      <c r="S193" s="12">
        <v>15</v>
      </c>
      <c r="T193" s="14" t="s">
        <v>64</v>
      </c>
      <c r="U193" s="14" t="s">
        <v>863</v>
      </c>
      <c r="V193" s="17" t="s">
        <v>864</v>
      </c>
    </row>
    <row r="194" spans="1:22" ht="22.8" x14ac:dyDescent="0.3">
      <c r="A194" s="12">
        <v>176</v>
      </c>
      <c r="B194" s="13" t="s">
        <v>865</v>
      </c>
      <c r="C194" s="12" t="s">
        <v>820</v>
      </c>
      <c r="D194" s="12" t="s">
        <v>111</v>
      </c>
      <c r="E194" s="14" t="s">
        <v>796</v>
      </c>
      <c r="F194" s="14" t="s">
        <v>797</v>
      </c>
      <c r="G194" s="14" t="s">
        <v>165</v>
      </c>
      <c r="H194" s="14" t="s">
        <v>165</v>
      </c>
      <c r="I194" s="14" t="s">
        <v>58</v>
      </c>
      <c r="J194" s="12" t="s">
        <v>760</v>
      </c>
      <c r="K194" s="12" t="s">
        <v>60</v>
      </c>
      <c r="L194" s="15" t="s">
        <v>37</v>
      </c>
      <c r="M194" s="15" t="s">
        <v>37</v>
      </c>
      <c r="N194" s="14"/>
      <c r="O194" s="14" t="s">
        <v>798</v>
      </c>
      <c r="P194" s="12">
        <v>11</v>
      </c>
      <c r="Q194" s="20" t="s">
        <v>101</v>
      </c>
      <c r="R194" s="14" t="s">
        <v>40</v>
      </c>
      <c r="S194" s="12">
        <v>28</v>
      </c>
      <c r="T194" s="14" t="s">
        <v>41</v>
      </c>
      <c r="U194" s="14" t="s">
        <v>41</v>
      </c>
      <c r="V194" s="17" t="s">
        <v>866</v>
      </c>
    </row>
    <row r="195" spans="1:22" x14ac:dyDescent="0.3">
      <c r="A195" s="12">
        <v>177</v>
      </c>
      <c r="B195" s="13" t="s">
        <v>867</v>
      </c>
      <c r="C195" s="12" t="s">
        <v>820</v>
      </c>
      <c r="D195" s="12" t="s">
        <v>113</v>
      </c>
      <c r="E195" s="14" t="s">
        <v>868</v>
      </c>
      <c r="F195" s="14" t="s">
        <v>869</v>
      </c>
      <c r="G195" s="14" t="s">
        <v>97</v>
      </c>
      <c r="H195" s="14" t="s">
        <v>57</v>
      </c>
      <c r="I195" s="14" t="s">
        <v>98</v>
      </c>
      <c r="J195" s="12" t="s">
        <v>159</v>
      </c>
      <c r="K195" s="12" t="s">
        <v>60</v>
      </c>
      <c r="L195" s="18" t="s">
        <v>60</v>
      </c>
      <c r="M195" s="18" t="s">
        <v>60</v>
      </c>
      <c r="N195" s="14"/>
      <c r="O195" s="14" t="s">
        <v>486</v>
      </c>
      <c r="P195" s="12">
        <v>5</v>
      </c>
      <c r="Q195" s="19" t="s">
        <v>62</v>
      </c>
      <c r="R195" s="14" t="s">
        <v>40</v>
      </c>
      <c r="S195" s="12">
        <v>31</v>
      </c>
      <c r="T195" s="14" t="s">
        <v>311</v>
      </c>
      <c r="U195" s="14" t="s">
        <v>311</v>
      </c>
      <c r="V195" s="17" t="s">
        <v>870</v>
      </c>
    </row>
    <row r="196" spans="1:22" x14ac:dyDescent="0.3">
      <c r="A196" s="12">
        <v>178</v>
      </c>
      <c r="B196" s="13" t="s">
        <v>871</v>
      </c>
      <c r="C196" s="12" t="s">
        <v>820</v>
      </c>
      <c r="D196" s="12" t="s">
        <v>699</v>
      </c>
      <c r="E196" s="14" t="s">
        <v>872</v>
      </c>
      <c r="F196" s="14" t="s">
        <v>873</v>
      </c>
      <c r="G196" s="14" t="s">
        <v>57</v>
      </c>
      <c r="H196" s="14" t="s">
        <v>86</v>
      </c>
      <c r="I196" s="14" t="s">
        <v>98</v>
      </c>
      <c r="J196" s="12" t="s">
        <v>383</v>
      </c>
      <c r="K196" s="12" t="s">
        <v>60</v>
      </c>
      <c r="L196" s="18" t="s">
        <v>60</v>
      </c>
      <c r="M196" s="18" t="s">
        <v>60</v>
      </c>
      <c r="N196" s="14"/>
      <c r="O196" s="14" t="s">
        <v>89</v>
      </c>
      <c r="P196" s="12">
        <v>1</v>
      </c>
      <c r="Q196" s="19" t="s">
        <v>62</v>
      </c>
      <c r="R196" s="14" t="s">
        <v>90</v>
      </c>
      <c r="S196" s="12">
        <v>13</v>
      </c>
      <c r="T196" s="14" t="s">
        <v>41</v>
      </c>
      <c r="U196" s="14" t="s">
        <v>41</v>
      </c>
      <c r="V196" s="17" t="s">
        <v>874</v>
      </c>
    </row>
    <row r="197" spans="1:22" ht="34.200000000000003" x14ac:dyDescent="0.3">
      <c r="A197" s="12">
        <v>179</v>
      </c>
      <c r="B197" s="13" t="s">
        <v>875</v>
      </c>
      <c r="C197" s="12" t="s">
        <v>820</v>
      </c>
      <c r="D197" s="12" t="s">
        <v>876</v>
      </c>
      <c r="E197" s="14" t="s">
        <v>877</v>
      </c>
      <c r="F197" s="14" t="s">
        <v>873</v>
      </c>
      <c r="G197" s="14" t="s">
        <v>152</v>
      </c>
      <c r="H197" s="14" t="s">
        <v>86</v>
      </c>
      <c r="I197" s="14" t="s">
        <v>98</v>
      </c>
      <c r="J197" s="12" t="s">
        <v>414</v>
      </c>
      <c r="K197" s="12" t="s">
        <v>60</v>
      </c>
      <c r="L197" s="15" t="s">
        <v>37</v>
      </c>
      <c r="M197" s="15" t="s">
        <v>37</v>
      </c>
      <c r="N197" s="14"/>
      <c r="O197" s="14" t="s">
        <v>878</v>
      </c>
      <c r="P197" s="12">
        <v>8</v>
      </c>
      <c r="Q197" s="21" t="s">
        <v>136</v>
      </c>
      <c r="R197" s="14" t="s">
        <v>40</v>
      </c>
      <c r="S197" s="12">
        <v>6</v>
      </c>
      <c r="T197" s="14" t="s">
        <v>64</v>
      </c>
      <c r="U197" s="14" t="s">
        <v>879</v>
      </c>
      <c r="V197" s="17" t="s">
        <v>880</v>
      </c>
    </row>
    <row r="198" spans="1:22" x14ac:dyDescent="0.3">
      <c r="A198" s="12">
        <v>180</v>
      </c>
      <c r="B198" s="13" t="s">
        <v>881</v>
      </c>
      <c r="C198" s="12" t="s">
        <v>820</v>
      </c>
      <c r="D198" s="12" t="s">
        <v>120</v>
      </c>
      <c r="E198" s="14" t="s">
        <v>882</v>
      </c>
      <c r="F198" s="14" t="s">
        <v>298</v>
      </c>
      <c r="G198" s="14" t="s">
        <v>165</v>
      </c>
      <c r="H198" s="14" t="s">
        <v>86</v>
      </c>
      <c r="I198" s="14" t="s">
        <v>87</v>
      </c>
      <c r="J198" s="12" t="s">
        <v>883</v>
      </c>
      <c r="K198" s="12" t="s">
        <v>60</v>
      </c>
      <c r="L198" s="15" t="s">
        <v>37</v>
      </c>
      <c r="M198" s="15" t="s">
        <v>37</v>
      </c>
      <c r="N198" s="14"/>
      <c r="O198" s="14" t="s">
        <v>486</v>
      </c>
      <c r="P198" s="12">
        <v>5</v>
      </c>
      <c r="Q198" s="19" t="s">
        <v>62</v>
      </c>
      <c r="R198" s="14" t="s">
        <v>40</v>
      </c>
      <c r="S198" s="12">
        <v>31</v>
      </c>
      <c r="T198" s="14" t="s">
        <v>138</v>
      </c>
      <c r="U198" s="14" t="s">
        <v>138</v>
      </c>
      <c r="V198" s="17" t="s">
        <v>884</v>
      </c>
    </row>
    <row r="199" spans="1:22" ht="22.8" x14ac:dyDescent="0.3">
      <c r="A199" s="12">
        <v>181</v>
      </c>
      <c r="B199" s="13" t="s">
        <v>885</v>
      </c>
      <c r="C199" s="12" t="s">
        <v>820</v>
      </c>
      <c r="D199" s="12" t="s">
        <v>360</v>
      </c>
      <c r="E199" s="14" t="s">
        <v>886</v>
      </c>
      <c r="F199" s="14" t="s">
        <v>887</v>
      </c>
      <c r="G199" s="14" t="s">
        <v>97</v>
      </c>
      <c r="H199" s="14" t="s">
        <v>97</v>
      </c>
      <c r="I199" s="14" t="s">
        <v>87</v>
      </c>
      <c r="J199" s="12" t="s">
        <v>206</v>
      </c>
      <c r="K199" s="12" t="s">
        <v>60</v>
      </c>
      <c r="L199" s="15" t="s">
        <v>37</v>
      </c>
      <c r="M199" s="15" t="s">
        <v>37</v>
      </c>
      <c r="N199" s="14"/>
      <c r="O199" s="14" t="s">
        <v>61</v>
      </c>
      <c r="P199" s="12">
        <v>3</v>
      </c>
      <c r="Q199" s="19" t="s">
        <v>62</v>
      </c>
      <c r="R199" s="14" t="s">
        <v>40</v>
      </c>
      <c r="S199" s="12">
        <v>37</v>
      </c>
      <c r="T199" s="14" t="s">
        <v>409</v>
      </c>
      <c r="U199" s="14" t="s">
        <v>409</v>
      </c>
      <c r="V199" s="17" t="s">
        <v>888</v>
      </c>
    </row>
    <row r="200" spans="1:22" ht="22.8" x14ac:dyDescent="0.3">
      <c r="A200" s="12">
        <v>182</v>
      </c>
      <c r="B200" s="13" t="s">
        <v>889</v>
      </c>
      <c r="C200" s="12" t="s">
        <v>820</v>
      </c>
      <c r="D200" s="12" t="s">
        <v>374</v>
      </c>
      <c r="E200" s="14" t="s">
        <v>375</v>
      </c>
      <c r="F200" s="14" t="s">
        <v>376</v>
      </c>
      <c r="G200" s="14" t="s">
        <v>165</v>
      </c>
      <c r="H200" s="14" t="s">
        <v>377</v>
      </c>
      <c r="I200" s="14" t="s">
        <v>87</v>
      </c>
      <c r="J200" s="12" t="s">
        <v>378</v>
      </c>
      <c r="K200" s="12" t="s">
        <v>60</v>
      </c>
      <c r="L200" s="15" t="s">
        <v>37</v>
      </c>
      <c r="M200" s="22" t="s">
        <v>146</v>
      </c>
      <c r="N200" s="14"/>
      <c r="O200" s="14" t="s">
        <v>89</v>
      </c>
      <c r="P200" s="12">
        <v>1</v>
      </c>
      <c r="Q200" s="19" t="s">
        <v>62</v>
      </c>
      <c r="R200" s="14" t="s">
        <v>379</v>
      </c>
      <c r="S200" s="12">
        <v>13</v>
      </c>
      <c r="T200" s="14" t="s">
        <v>174</v>
      </c>
      <c r="U200" s="14" t="s">
        <v>890</v>
      </c>
      <c r="V200" s="17" t="s">
        <v>891</v>
      </c>
    </row>
    <row r="201" spans="1:22" x14ac:dyDescent="0.3">
      <c r="A201" s="12">
        <v>183</v>
      </c>
      <c r="B201" s="13" t="s">
        <v>892</v>
      </c>
      <c r="C201" s="12" t="s">
        <v>820</v>
      </c>
      <c r="D201" s="12" t="s">
        <v>126</v>
      </c>
      <c r="E201" s="14" t="s">
        <v>34</v>
      </c>
      <c r="F201" s="14" t="s">
        <v>34</v>
      </c>
      <c r="G201" s="14" t="s">
        <v>35</v>
      </c>
      <c r="H201" s="14" t="s">
        <v>35</v>
      </c>
      <c r="I201" s="14" t="s">
        <v>36</v>
      </c>
      <c r="J201" s="12" t="s">
        <v>34</v>
      </c>
      <c r="K201" s="12" t="s">
        <v>34</v>
      </c>
      <c r="L201" s="15" t="s">
        <v>37</v>
      </c>
      <c r="M201" s="15" t="s">
        <v>37</v>
      </c>
      <c r="N201" s="14"/>
      <c r="O201" s="14" t="s">
        <v>38</v>
      </c>
      <c r="P201" s="12" t="s">
        <v>34</v>
      </c>
      <c r="Q201" s="16" t="s">
        <v>39</v>
      </c>
      <c r="R201" s="14" t="s">
        <v>40</v>
      </c>
      <c r="S201" s="12">
        <v>0</v>
      </c>
      <c r="T201" s="14" t="s">
        <v>41</v>
      </c>
      <c r="U201" s="14" t="s">
        <v>41</v>
      </c>
      <c r="V201" s="17"/>
    </row>
    <row r="202" spans="1:22" ht="22.8" x14ac:dyDescent="0.3">
      <c r="A202" s="12">
        <v>184</v>
      </c>
      <c r="B202" s="13" t="s">
        <v>893</v>
      </c>
      <c r="C202" s="12" t="s">
        <v>820</v>
      </c>
      <c r="D202" s="12" t="s">
        <v>513</v>
      </c>
      <c r="E202" s="14" t="s">
        <v>514</v>
      </c>
      <c r="F202" s="14" t="s">
        <v>515</v>
      </c>
      <c r="G202" s="14" t="s">
        <v>97</v>
      </c>
      <c r="H202" s="14" t="s">
        <v>86</v>
      </c>
      <c r="I202" s="14" t="s">
        <v>212</v>
      </c>
      <c r="J202" s="12" t="s">
        <v>258</v>
      </c>
      <c r="K202" s="12" t="s">
        <v>60</v>
      </c>
      <c r="L202" s="15" t="s">
        <v>37</v>
      </c>
      <c r="M202" s="15" t="s">
        <v>37</v>
      </c>
      <c r="N202" s="14"/>
      <c r="O202" s="14" t="s">
        <v>38</v>
      </c>
      <c r="P202" s="12" t="s">
        <v>34</v>
      </c>
      <c r="Q202" s="16" t="s">
        <v>39</v>
      </c>
      <c r="R202" s="14" t="s">
        <v>40</v>
      </c>
      <c r="S202" s="12">
        <v>0</v>
      </c>
      <c r="T202" s="14" t="s">
        <v>311</v>
      </c>
      <c r="U202" s="14" t="s">
        <v>311</v>
      </c>
      <c r="V202" s="17" t="s">
        <v>894</v>
      </c>
    </row>
    <row r="203" spans="1:22" ht="34.200000000000003" x14ac:dyDescent="0.3">
      <c r="A203" s="12">
        <v>185</v>
      </c>
      <c r="B203" s="13" t="s">
        <v>895</v>
      </c>
      <c r="C203" s="12" t="s">
        <v>820</v>
      </c>
      <c r="D203" s="12" t="s">
        <v>513</v>
      </c>
      <c r="E203" s="14" t="s">
        <v>896</v>
      </c>
      <c r="F203" s="14" t="s">
        <v>413</v>
      </c>
      <c r="G203" s="14" t="s">
        <v>57</v>
      </c>
      <c r="H203" s="14" t="s">
        <v>86</v>
      </c>
      <c r="I203" s="14" t="s">
        <v>212</v>
      </c>
      <c r="J203" s="12" t="s">
        <v>258</v>
      </c>
      <c r="K203" s="12" t="s">
        <v>60</v>
      </c>
      <c r="L203" s="18" t="s">
        <v>60</v>
      </c>
      <c r="M203" s="18" t="s">
        <v>60</v>
      </c>
      <c r="N203" s="14"/>
      <c r="O203" s="14" t="s">
        <v>38</v>
      </c>
      <c r="P203" s="12" t="s">
        <v>34</v>
      </c>
      <c r="Q203" s="16" t="s">
        <v>39</v>
      </c>
      <c r="R203" s="14" t="s">
        <v>708</v>
      </c>
      <c r="S203" s="12">
        <v>0</v>
      </c>
      <c r="T203" s="14" t="s">
        <v>91</v>
      </c>
      <c r="U203" s="14" t="s">
        <v>897</v>
      </c>
      <c r="V203" s="17" t="s">
        <v>898</v>
      </c>
    </row>
    <row r="205" spans="1:22" x14ac:dyDescent="0.3">
      <c r="A205" s="10" t="s">
        <v>899</v>
      </c>
      <c r="B205" s="11"/>
      <c r="C205" s="11"/>
      <c r="D205" s="11"/>
      <c r="E205" s="11"/>
      <c r="F205" s="11"/>
      <c r="G205" s="11"/>
      <c r="H205" s="11"/>
      <c r="I205" s="11"/>
      <c r="J205" s="11"/>
      <c r="K205" s="11"/>
      <c r="L205" s="11"/>
      <c r="M205" s="11"/>
      <c r="N205" s="11"/>
      <c r="O205" s="11"/>
      <c r="P205" s="11"/>
      <c r="Q205" s="11"/>
      <c r="R205" s="11"/>
      <c r="S205" s="11"/>
      <c r="T205" s="11"/>
      <c r="U205" s="11"/>
      <c r="V205" s="11"/>
    </row>
    <row r="206" spans="1:22" x14ac:dyDescent="0.3">
      <c r="A206" s="12">
        <v>186</v>
      </c>
      <c r="B206" s="13" t="s">
        <v>900</v>
      </c>
      <c r="C206" s="12" t="s">
        <v>901</v>
      </c>
      <c r="D206" s="12" t="s">
        <v>33</v>
      </c>
      <c r="E206" s="14" t="s">
        <v>34</v>
      </c>
      <c r="F206" s="14" t="s">
        <v>34</v>
      </c>
      <c r="G206" s="14" t="s">
        <v>35</v>
      </c>
      <c r="H206" s="14" t="s">
        <v>35</v>
      </c>
      <c r="I206" s="14" t="s">
        <v>36</v>
      </c>
      <c r="J206" s="12" t="s">
        <v>34</v>
      </c>
      <c r="K206" s="12" t="s">
        <v>34</v>
      </c>
      <c r="L206" s="15" t="s">
        <v>37</v>
      </c>
      <c r="M206" s="15" t="s">
        <v>37</v>
      </c>
      <c r="N206" s="14"/>
      <c r="O206" s="14" t="s">
        <v>38</v>
      </c>
      <c r="P206" s="12" t="s">
        <v>34</v>
      </c>
      <c r="Q206" s="16" t="s">
        <v>39</v>
      </c>
      <c r="R206" s="14" t="s">
        <v>40</v>
      </c>
      <c r="S206" s="12">
        <v>0</v>
      </c>
      <c r="T206" s="14" t="s">
        <v>41</v>
      </c>
      <c r="U206" s="14" t="s">
        <v>41</v>
      </c>
      <c r="V206" s="17"/>
    </row>
    <row r="207" spans="1:22" ht="34.200000000000003" x14ac:dyDescent="0.3">
      <c r="A207" s="12">
        <v>187</v>
      </c>
      <c r="B207" s="13" t="s">
        <v>902</v>
      </c>
      <c r="C207" s="12" t="s">
        <v>901</v>
      </c>
      <c r="D207" s="12" t="s">
        <v>33</v>
      </c>
      <c r="E207" s="14" t="s">
        <v>903</v>
      </c>
      <c r="F207" s="14" t="s">
        <v>904</v>
      </c>
      <c r="G207" s="14" t="s">
        <v>57</v>
      </c>
      <c r="H207" s="14" t="s">
        <v>152</v>
      </c>
      <c r="I207" s="14" t="s">
        <v>87</v>
      </c>
      <c r="J207" s="12" t="s">
        <v>331</v>
      </c>
      <c r="K207" s="12" t="s">
        <v>60</v>
      </c>
      <c r="L207" s="15" t="s">
        <v>37</v>
      </c>
      <c r="M207" s="15" t="s">
        <v>37</v>
      </c>
      <c r="N207" s="14"/>
      <c r="O207" s="14" t="s">
        <v>61</v>
      </c>
      <c r="P207" s="12">
        <v>3</v>
      </c>
      <c r="Q207" s="19" t="s">
        <v>62</v>
      </c>
      <c r="R207" s="14" t="s">
        <v>40</v>
      </c>
      <c r="S207" s="12">
        <v>37</v>
      </c>
      <c r="T207" s="14" t="s">
        <v>174</v>
      </c>
      <c r="U207" s="14" t="s">
        <v>890</v>
      </c>
      <c r="V207" s="17" t="s">
        <v>905</v>
      </c>
    </row>
    <row r="208" spans="1:22" ht="34.200000000000003" x14ac:dyDescent="0.3">
      <c r="A208" s="12">
        <v>188</v>
      </c>
      <c r="B208" s="13" t="s">
        <v>906</v>
      </c>
      <c r="C208" s="12" t="s">
        <v>901</v>
      </c>
      <c r="D208" s="12" t="s">
        <v>51</v>
      </c>
      <c r="E208" s="14" t="s">
        <v>907</v>
      </c>
      <c r="F208" s="14" t="s">
        <v>424</v>
      </c>
      <c r="G208" s="14" t="s">
        <v>57</v>
      </c>
      <c r="H208" s="14" t="s">
        <v>57</v>
      </c>
      <c r="I208" s="14" t="s">
        <v>98</v>
      </c>
      <c r="J208" s="12" t="s">
        <v>134</v>
      </c>
      <c r="K208" s="12" t="s">
        <v>60</v>
      </c>
      <c r="L208" s="18" t="s">
        <v>60</v>
      </c>
      <c r="M208" s="18" t="s">
        <v>60</v>
      </c>
      <c r="N208" s="14"/>
      <c r="O208" s="14" t="s">
        <v>135</v>
      </c>
      <c r="P208" s="12">
        <v>9</v>
      </c>
      <c r="Q208" s="21" t="s">
        <v>136</v>
      </c>
      <c r="R208" s="14" t="s">
        <v>173</v>
      </c>
      <c r="S208" s="12">
        <v>51</v>
      </c>
      <c r="T208" s="14" t="s">
        <v>167</v>
      </c>
      <c r="U208" s="14" t="s">
        <v>908</v>
      </c>
      <c r="V208" s="17" t="s">
        <v>909</v>
      </c>
    </row>
    <row r="209" spans="1:22" ht="34.200000000000003" x14ac:dyDescent="0.3">
      <c r="A209" s="12">
        <v>189</v>
      </c>
      <c r="B209" s="13" t="s">
        <v>910</v>
      </c>
      <c r="C209" s="12" t="s">
        <v>901</v>
      </c>
      <c r="D209" s="12" t="s">
        <v>51</v>
      </c>
      <c r="E209" s="14" t="s">
        <v>911</v>
      </c>
      <c r="F209" s="14" t="s">
        <v>912</v>
      </c>
      <c r="G209" s="14" t="s">
        <v>57</v>
      </c>
      <c r="H209" s="14" t="s">
        <v>86</v>
      </c>
      <c r="I209" s="14" t="s">
        <v>98</v>
      </c>
      <c r="J209" s="12" t="s">
        <v>414</v>
      </c>
      <c r="K209" s="12" t="s">
        <v>60</v>
      </c>
      <c r="L209" s="15" t="s">
        <v>37</v>
      </c>
      <c r="M209" s="15" t="s">
        <v>37</v>
      </c>
      <c r="N209" s="14"/>
      <c r="O209" s="14" t="s">
        <v>365</v>
      </c>
      <c r="P209" s="12">
        <v>7</v>
      </c>
      <c r="Q209" s="21" t="s">
        <v>136</v>
      </c>
      <c r="R209" s="14" t="s">
        <v>40</v>
      </c>
      <c r="S209" s="12">
        <v>14</v>
      </c>
      <c r="T209" s="14" t="s">
        <v>138</v>
      </c>
      <c r="U209" s="14" t="s">
        <v>913</v>
      </c>
      <c r="V209" s="17" t="s">
        <v>914</v>
      </c>
    </row>
    <row r="210" spans="1:22" ht="22.8" x14ac:dyDescent="0.3">
      <c r="A210" s="12">
        <v>190</v>
      </c>
      <c r="B210" s="13" t="s">
        <v>915</v>
      </c>
      <c r="C210" s="12" t="s">
        <v>901</v>
      </c>
      <c r="D210" s="12" t="s">
        <v>70</v>
      </c>
      <c r="E210" s="14" t="s">
        <v>916</v>
      </c>
      <c r="F210" s="14" t="s">
        <v>917</v>
      </c>
      <c r="G210" s="14" t="s">
        <v>57</v>
      </c>
      <c r="H210" s="14" t="s">
        <v>57</v>
      </c>
      <c r="I210" s="14" t="s">
        <v>98</v>
      </c>
      <c r="J210" s="12" t="s">
        <v>99</v>
      </c>
      <c r="K210" s="12" t="s">
        <v>60</v>
      </c>
      <c r="L210" s="18" t="s">
        <v>60</v>
      </c>
      <c r="M210" s="18" t="s">
        <v>60</v>
      </c>
      <c r="N210" s="14"/>
      <c r="O210" s="14" t="s">
        <v>918</v>
      </c>
      <c r="P210" s="12">
        <v>9</v>
      </c>
      <c r="Q210" s="21" t="s">
        <v>136</v>
      </c>
      <c r="R210" s="14" t="s">
        <v>919</v>
      </c>
      <c r="S210" s="12">
        <v>34</v>
      </c>
      <c r="T210" s="14" t="s">
        <v>91</v>
      </c>
      <c r="U210" s="14" t="s">
        <v>920</v>
      </c>
      <c r="V210" s="17" t="s">
        <v>921</v>
      </c>
    </row>
    <row r="211" spans="1:22" x14ac:dyDescent="0.3">
      <c r="A211" s="12">
        <v>191</v>
      </c>
      <c r="B211" s="13" t="s">
        <v>922</v>
      </c>
      <c r="C211" s="12" t="s">
        <v>901</v>
      </c>
      <c r="D211" s="12" t="s">
        <v>255</v>
      </c>
      <c r="E211" s="14" t="s">
        <v>34</v>
      </c>
      <c r="F211" s="14" t="s">
        <v>34</v>
      </c>
      <c r="G211" s="14" t="s">
        <v>35</v>
      </c>
      <c r="H211" s="14" t="s">
        <v>35</v>
      </c>
      <c r="I211" s="14" t="s">
        <v>36</v>
      </c>
      <c r="J211" s="12" t="s">
        <v>34</v>
      </c>
      <c r="K211" s="12" t="s">
        <v>34</v>
      </c>
      <c r="L211" s="15" t="s">
        <v>37</v>
      </c>
      <c r="M211" s="15" t="s">
        <v>37</v>
      </c>
      <c r="N211" s="14"/>
      <c r="O211" s="14" t="s">
        <v>38</v>
      </c>
      <c r="P211" s="12" t="s">
        <v>34</v>
      </c>
      <c r="Q211" s="16" t="s">
        <v>39</v>
      </c>
      <c r="R211" s="14" t="s">
        <v>40</v>
      </c>
      <c r="S211" s="12">
        <v>0</v>
      </c>
      <c r="T211" s="14" t="s">
        <v>41</v>
      </c>
      <c r="U211" s="14" t="s">
        <v>41</v>
      </c>
      <c r="V211" s="17"/>
    </row>
    <row r="212" spans="1:22" ht="22.8" x14ac:dyDescent="0.3">
      <c r="A212" s="12">
        <v>192</v>
      </c>
      <c r="B212" s="13" t="s">
        <v>923</v>
      </c>
      <c r="C212" s="12" t="s">
        <v>901</v>
      </c>
      <c r="D212" s="12" t="s">
        <v>255</v>
      </c>
      <c r="E212" s="14" t="s">
        <v>440</v>
      </c>
      <c r="F212" s="14" t="s">
        <v>441</v>
      </c>
      <c r="G212" s="14" t="s">
        <v>57</v>
      </c>
      <c r="H212" s="14" t="s">
        <v>278</v>
      </c>
      <c r="I212" s="14" t="s">
        <v>87</v>
      </c>
      <c r="J212" s="12" t="s">
        <v>394</v>
      </c>
      <c r="K212" s="12" t="s">
        <v>60</v>
      </c>
      <c r="L212" s="22" t="s">
        <v>146</v>
      </c>
      <c r="M212" s="22" t="s">
        <v>146</v>
      </c>
      <c r="N212" s="14"/>
      <c r="O212" s="14" t="s">
        <v>442</v>
      </c>
      <c r="P212" s="12">
        <v>32</v>
      </c>
      <c r="Q212" s="24" t="s">
        <v>443</v>
      </c>
      <c r="R212" s="14" t="s">
        <v>40</v>
      </c>
      <c r="S212" s="12">
        <v>0</v>
      </c>
      <c r="T212" s="14" t="s">
        <v>138</v>
      </c>
      <c r="U212" s="14" t="s">
        <v>444</v>
      </c>
      <c r="V212" s="17" t="s">
        <v>445</v>
      </c>
    </row>
    <row r="213" spans="1:22" ht="22.8" x14ac:dyDescent="0.3">
      <c r="A213" s="12">
        <v>193</v>
      </c>
      <c r="B213" s="13" t="s">
        <v>924</v>
      </c>
      <c r="C213" s="12" t="s">
        <v>901</v>
      </c>
      <c r="D213" s="12" t="s">
        <v>453</v>
      </c>
      <c r="E213" s="14" t="s">
        <v>925</v>
      </c>
      <c r="F213" s="14" t="s">
        <v>926</v>
      </c>
      <c r="G213" s="14" t="s">
        <v>85</v>
      </c>
      <c r="H213" s="14" t="s">
        <v>363</v>
      </c>
      <c r="I213" s="14" t="s">
        <v>87</v>
      </c>
      <c r="J213" s="12" t="s">
        <v>88</v>
      </c>
      <c r="K213" s="12" t="s">
        <v>60</v>
      </c>
      <c r="L213" s="15" t="s">
        <v>37</v>
      </c>
      <c r="M213" s="15" t="s">
        <v>37</v>
      </c>
      <c r="N213" s="14"/>
      <c r="O213" s="14" t="s">
        <v>927</v>
      </c>
      <c r="P213" s="12">
        <v>130</v>
      </c>
      <c r="Q213" s="24" t="s">
        <v>443</v>
      </c>
      <c r="R213" s="14" t="s">
        <v>40</v>
      </c>
      <c r="S213" s="12">
        <v>0</v>
      </c>
      <c r="T213" s="14" t="s">
        <v>311</v>
      </c>
      <c r="U213" s="14" t="s">
        <v>311</v>
      </c>
      <c r="V213" s="17" t="s">
        <v>928</v>
      </c>
    </row>
    <row r="214" spans="1:22" ht="34.200000000000003" x14ac:dyDescent="0.3">
      <c r="A214" s="12">
        <v>194</v>
      </c>
      <c r="B214" s="13" t="s">
        <v>929</v>
      </c>
      <c r="C214" s="12" t="s">
        <v>901</v>
      </c>
      <c r="D214" s="12" t="s">
        <v>94</v>
      </c>
      <c r="E214" s="14" t="s">
        <v>930</v>
      </c>
      <c r="F214" s="14" t="s">
        <v>931</v>
      </c>
      <c r="G214" s="14" t="s">
        <v>268</v>
      </c>
      <c r="H214" s="14" t="s">
        <v>86</v>
      </c>
      <c r="I214" s="14" t="s">
        <v>186</v>
      </c>
      <c r="J214" s="12" t="s">
        <v>617</v>
      </c>
      <c r="K214" s="12" t="s">
        <v>37</v>
      </c>
      <c r="L214" s="15" t="s">
        <v>37</v>
      </c>
      <c r="M214" s="15" t="s">
        <v>37</v>
      </c>
      <c r="N214" s="14"/>
      <c r="O214" s="14" t="s">
        <v>932</v>
      </c>
      <c r="P214" s="12">
        <v>12</v>
      </c>
      <c r="Q214" s="20" t="s">
        <v>101</v>
      </c>
      <c r="R214" s="14" t="s">
        <v>40</v>
      </c>
      <c r="S214" s="12">
        <v>0</v>
      </c>
      <c r="T214" s="14" t="s">
        <v>200</v>
      </c>
      <c r="U214" s="14" t="s">
        <v>200</v>
      </c>
      <c r="V214" s="17" t="s">
        <v>933</v>
      </c>
    </row>
    <row r="215" spans="1:22" ht="22.8" x14ac:dyDescent="0.3">
      <c r="A215" s="12">
        <v>195</v>
      </c>
      <c r="B215" s="13" t="s">
        <v>934</v>
      </c>
      <c r="C215" s="12" t="s">
        <v>901</v>
      </c>
      <c r="D215" s="12" t="s">
        <v>460</v>
      </c>
      <c r="E215" s="14" t="s">
        <v>935</v>
      </c>
      <c r="F215" s="14" t="s">
        <v>936</v>
      </c>
      <c r="G215" s="14" t="s">
        <v>57</v>
      </c>
      <c r="H215" s="14" t="s">
        <v>57</v>
      </c>
      <c r="I215" s="14" t="s">
        <v>87</v>
      </c>
      <c r="J215" s="12" t="s">
        <v>234</v>
      </c>
      <c r="K215" s="12" t="s">
        <v>60</v>
      </c>
      <c r="L215" s="18" t="s">
        <v>60</v>
      </c>
      <c r="M215" s="18" t="s">
        <v>60</v>
      </c>
      <c r="N215" s="14"/>
      <c r="O215" s="14" t="s">
        <v>318</v>
      </c>
      <c r="P215" s="12">
        <v>12</v>
      </c>
      <c r="Q215" s="20" t="s">
        <v>101</v>
      </c>
      <c r="R215" s="14" t="s">
        <v>40</v>
      </c>
      <c r="S215" s="12">
        <v>17</v>
      </c>
      <c r="T215" s="14" t="s">
        <v>41</v>
      </c>
      <c r="U215" s="14" t="s">
        <v>41</v>
      </c>
      <c r="V215" s="17" t="s">
        <v>937</v>
      </c>
    </row>
    <row r="216" spans="1:22" x14ac:dyDescent="0.3">
      <c r="A216" s="12">
        <v>196</v>
      </c>
      <c r="B216" s="13" t="s">
        <v>938</v>
      </c>
      <c r="C216" s="12" t="s">
        <v>901</v>
      </c>
      <c r="D216" s="12" t="s">
        <v>673</v>
      </c>
      <c r="E216" s="14" t="s">
        <v>939</v>
      </c>
      <c r="F216" s="14" t="s">
        <v>940</v>
      </c>
      <c r="G216" s="14" t="s">
        <v>165</v>
      </c>
      <c r="H216" s="14" t="s">
        <v>86</v>
      </c>
      <c r="I216" s="14" t="s">
        <v>87</v>
      </c>
      <c r="J216" s="12" t="s">
        <v>883</v>
      </c>
      <c r="K216" s="12" t="s">
        <v>60</v>
      </c>
      <c r="L216" s="15" t="s">
        <v>37</v>
      </c>
      <c r="M216" s="15" t="s">
        <v>37</v>
      </c>
      <c r="N216" s="14"/>
      <c r="O216" s="14" t="s">
        <v>365</v>
      </c>
      <c r="P216" s="12">
        <v>7</v>
      </c>
      <c r="Q216" s="21" t="s">
        <v>136</v>
      </c>
      <c r="R216" s="14" t="s">
        <v>40</v>
      </c>
      <c r="S216" s="12">
        <v>14</v>
      </c>
      <c r="T216" s="14" t="s">
        <v>207</v>
      </c>
      <c r="U216" s="14" t="s">
        <v>207</v>
      </c>
      <c r="V216" s="17" t="s">
        <v>941</v>
      </c>
    </row>
    <row r="217" spans="1:22" ht="34.200000000000003" x14ac:dyDescent="0.3">
      <c r="A217" s="12">
        <v>197</v>
      </c>
      <c r="B217" s="13" t="s">
        <v>942</v>
      </c>
      <c r="C217" s="12" t="s">
        <v>901</v>
      </c>
      <c r="D217" s="12" t="s">
        <v>686</v>
      </c>
      <c r="E217" s="14" t="s">
        <v>943</v>
      </c>
      <c r="F217" s="14" t="s">
        <v>413</v>
      </c>
      <c r="G217" s="14" t="s">
        <v>57</v>
      </c>
      <c r="H217" s="14" t="s">
        <v>86</v>
      </c>
      <c r="I217" s="14" t="s">
        <v>186</v>
      </c>
      <c r="J217" s="12" t="s">
        <v>356</v>
      </c>
      <c r="K217" s="12" t="s">
        <v>37</v>
      </c>
      <c r="L217" s="18" t="s">
        <v>60</v>
      </c>
      <c r="M217" s="15" t="s">
        <v>37</v>
      </c>
      <c r="N217" s="14"/>
      <c r="O217" s="14" t="s">
        <v>89</v>
      </c>
      <c r="P217" s="12">
        <v>1</v>
      </c>
      <c r="Q217" s="19" t="s">
        <v>62</v>
      </c>
      <c r="R217" s="14" t="s">
        <v>40</v>
      </c>
      <c r="S217" s="12">
        <v>13</v>
      </c>
      <c r="T217" s="14" t="s">
        <v>138</v>
      </c>
      <c r="U217" s="14" t="s">
        <v>138</v>
      </c>
      <c r="V217" s="17" t="s">
        <v>944</v>
      </c>
    </row>
    <row r="218" spans="1:22" x14ac:dyDescent="0.3">
      <c r="A218" s="12">
        <v>198</v>
      </c>
      <c r="B218" s="13" t="s">
        <v>945</v>
      </c>
      <c r="C218" s="12" t="s">
        <v>901</v>
      </c>
      <c r="D218" s="12" t="s">
        <v>946</v>
      </c>
      <c r="E218" s="14" t="s">
        <v>947</v>
      </c>
      <c r="F218" s="14" t="s">
        <v>948</v>
      </c>
      <c r="G218" s="14" t="s">
        <v>57</v>
      </c>
      <c r="H218" s="14" t="s">
        <v>86</v>
      </c>
      <c r="I218" s="14" t="s">
        <v>186</v>
      </c>
      <c r="J218" s="12" t="s">
        <v>187</v>
      </c>
      <c r="K218" s="12" t="s">
        <v>60</v>
      </c>
      <c r="L218" s="18" t="s">
        <v>60</v>
      </c>
      <c r="M218" s="15" t="s">
        <v>37</v>
      </c>
      <c r="N218" s="14"/>
      <c r="O218" s="14" t="s">
        <v>61</v>
      </c>
      <c r="P218" s="12">
        <v>3</v>
      </c>
      <c r="Q218" s="19" t="s">
        <v>62</v>
      </c>
      <c r="R218" s="14" t="s">
        <v>40</v>
      </c>
      <c r="S218" s="12">
        <v>37</v>
      </c>
      <c r="T218" s="14" t="s">
        <v>181</v>
      </c>
      <c r="U218" s="14" t="s">
        <v>181</v>
      </c>
      <c r="V218" s="17" t="s">
        <v>949</v>
      </c>
    </row>
    <row r="219" spans="1:22" ht="57" x14ac:dyDescent="0.3">
      <c r="A219" s="12">
        <v>199</v>
      </c>
      <c r="B219" s="13" t="s">
        <v>950</v>
      </c>
      <c r="C219" s="12" t="s">
        <v>901</v>
      </c>
      <c r="D219" s="12" t="s">
        <v>321</v>
      </c>
      <c r="E219" s="14" t="s">
        <v>951</v>
      </c>
      <c r="F219" s="14" t="s">
        <v>192</v>
      </c>
      <c r="G219" s="14" t="s">
        <v>57</v>
      </c>
      <c r="H219" s="14" t="s">
        <v>86</v>
      </c>
      <c r="I219" s="14" t="s">
        <v>212</v>
      </c>
      <c r="J219" s="12" t="s">
        <v>213</v>
      </c>
      <c r="K219" s="12" t="s">
        <v>60</v>
      </c>
      <c r="L219" s="18" t="s">
        <v>60</v>
      </c>
      <c r="M219" s="22" t="s">
        <v>146</v>
      </c>
      <c r="N219" s="14"/>
      <c r="O219" s="14" t="s">
        <v>61</v>
      </c>
      <c r="P219" s="12">
        <v>3</v>
      </c>
      <c r="Q219" s="19" t="s">
        <v>62</v>
      </c>
      <c r="R219" s="14" t="s">
        <v>708</v>
      </c>
      <c r="S219" s="12">
        <v>37</v>
      </c>
      <c r="T219" s="14" t="s">
        <v>138</v>
      </c>
      <c r="U219" s="14" t="s">
        <v>952</v>
      </c>
      <c r="V219" s="17" t="s">
        <v>953</v>
      </c>
    </row>
    <row r="220" spans="1:22" ht="57" x14ac:dyDescent="0.3">
      <c r="A220" s="12">
        <v>200</v>
      </c>
      <c r="B220" s="13" t="s">
        <v>954</v>
      </c>
      <c r="C220" s="12" t="s">
        <v>901</v>
      </c>
      <c r="D220" s="12" t="s">
        <v>321</v>
      </c>
      <c r="E220" s="14" t="s">
        <v>955</v>
      </c>
      <c r="F220" s="14" t="s">
        <v>956</v>
      </c>
      <c r="G220" s="14" t="s">
        <v>97</v>
      </c>
      <c r="H220" s="14" t="s">
        <v>97</v>
      </c>
      <c r="I220" s="14" t="s">
        <v>58</v>
      </c>
      <c r="J220" s="12" t="s">
        <v>760</v>
      </c>
      <c r="K220" s="12" t="s">
        <v>60</v>
      </c>
      <c r="L220" s="15" t="s">
        <v>37</v>
      </c>
      <c r="M220" s="15" t="s">
        <v>37</v>
      </c>
      <c r="N220" s="14"/>
      <c r="O220" s="14" t="s">
        <v>957</v>
      </c>
      <c r="P220" s="12">
        <v>40</v>
      </c>
      <c r="Q220" s="24" t="s">
        <v>443</v>
      </c>
      <c r="R220" s="14" t="s">
        <v>40</v>
      </c>
      <c r="S220" s="12">
        <v>0</v>
      </c>
      <c r="T220" s="14" t="s">
        <v>138</v>
      </c>
      <c r="U220" s="14" t="s">
        <v>958</v>
      </c>
      <c r="V220" s="17" t="s">
        <v>959</v>
      </c>
    </row>
    <row r="221" spans="1:22" ht="34.200000000000003" x14ac:dyDescent="0.3">
      <c r="A221" s="12">
        <v>201</v>
      </c>
      <c r="B221" s="13" t="s">
        <v>960</v>
      </c>
      <c r="C221" s="12" t="s">
        <v>901</v>
      </c>
      <c r="D221" s="12" t="s">
        <v>483</v>
      </c>
      <c r="E221" s="14" t="s">
        <v>961</v>
      </c>
      <c r="F221" s="14" t="s">
        <v>962</v>
      </c>
      <c r="G221" s="14" t="s">
        <v>57</v>
      </c>
      <c r="H221" s="14" t="s">
        <v>165</v>
      </c>
      <c r="I221" s="14" t="s">
        <v>58</v>
      </c>
      <c r="J221" s="12" t="s">
        <v>963</v>
      </c>
      <c r="K221" s="12" t="s">
        <v>60</v>
      </c>
      <c r="L221" s="18" t="s">
        <v>60</v>
      </c>
      <c r="M221" s="18" t="s">
        <v>60</v>
      </c>
      <c r="N221" s="14"/>
      <c r="O221" s="14" t="s">
        <v>38</v>
      </c>
      <c r="P221" s="12" t="s">
        <v>34</v>
      </c>
      <c r="Q221" s="16" t="s">
        <v>39</v>
      </c>
      <c r="R221" s="14" t="s">
        <v>40</v>
      </c>
      <c r="S221" s="12">
        <v>0</v>
      </c>
      <c r="T221" s="14" t="s">
        <v>64</v>
      </c>
      <c r="U221" s="14" t="s">
        <v>964</v>
      </c>
      <c r="V221" s="17" t="s">
        <v>965</v>
      </c>
    </row>
    <row r="222" spans="1:22" ht="22.8" x14ac:dyDescent="0.3">
      <c r="A222" s="12">
        <v>202</v>
      </c>
      <c r="B222" s="13" t="s">
        <v>966</v>
      </c>
      <c r="C222" s="12" t="s">
        <v>901</v>
      </c>
      <c r="D222" s="12" t="s">
        <v>115</v>
      </c>
      <c r="E222" s="14" t="s">
        <v>491</v>
      </c>
      <c r="F222" s="14" t="s">
        <v>492</v>
      </c>
      <c r="G222" s="14" t="s">
        <v>152</v>
      </c>
      <c r="H222" s="14" t="s">
        <v>86</v>
      </c>
      <c r="I222" s="14" t="s">
        <v>98</v>
      </c>
      <c r="J222" s="12" t="s">
        <v>383</v>
      </c>
      <c r="K222" s="12" t="s">
        <v>60</v>
      </c>
      <c r="L222" s="18" t="s">
        <v>60</v>
      </c>
      <c r="M222" s="18" t="s">
        <v>60</v>
      </c>
      <c r="N222" s="14"/>
      <c r="O222" s="14" t="s">
        <v>38</v>
      </c>
      <c r="P222" s="12" t="s">
        <v>34</v>
      </c>
      <c r="Q222" s="16" t="s">
        <v>39</v>
      </c>
      <c r="R222" s="14" t="s">
        <v>493</v>
      </c>
      <c r="S222" s="12">
        <v>0</v>
      </c>
      <c r="T222" s="14" t="s">
        <v>41</v>
      </c>
      <c r="U222" s="14" t="s">
        <v>41</v>
      </c>
      <c r="V222" s="17" t="s">
        <v>967</v>
      </c>
    </row>
    <row r="223" spans="1:22" ht="22.8" x14ac:dyDescent="0.3">
      <c r="A223" s="12">
        <v>203</v>
      </c>
      <c r="B223" s="13" t="s">
        <v>968</v>
      </c>
      <c r="C223" s="12" t="s">
        <v>901</v>
      </c>
      <c r="D223" s="12" t="s">
        <v>328</v>
      </c>
      <c r="E223" s="14" t="s">
        <v>969</v>
      </c>
      <c r="F223" s="14" t="s">
        <v>970</v>
      </c>
      <c r="G223" s="14" t="s">
        <v>165</v>
      </c>
      <c r="H223" s="14" t="s">
        <v>165</v>
      </c>
      <c r="I223" s="14" t="s">
        <v>98</v>
      </c>
      <c r="J223" s="12" t="s">
        <v>240</v>
      </c>
      <c r="K223" s="12" t="s">
        <v>60</v>
      </c>
      <c r="L223" s="15" t="s">
        <v>37</v>
      </c>
      <c r="M223" s="15" t="s">
        <v>37</v>
      </c>
      <c r="N223" s="14"/>
      <c r="O223" s="14" t="s">
        <v>38</v>
      </c>
      <c r="P223" s="12" t="s">
        <v>34</v>
      </c>
      <c r="Q223" s="16" t="s">
        <v>39</v>
      </c>
      <c r="R223" s="14" t="s">
        <v>40</v>
      </c>
      <c r="S223" s="12">
        <v>0</v>
      </c>
      <c r="T223" s="14" t="s">
        <v>138</v>
      </c>
      <c r="U223" s="14" t="s">
        <v>971</v>
      </c>
      <c r="V223" s="17" t="s">
        <v>972</v>
      </c>
    </row>
    <row r="224" spans="1:22" x14ac:dyDescent="0.3">
      <c r="A224" s="12">
        <v>204</v>
      </c>
      <c r="B224" s="13" t="s">
        <v>973</v>
      </c>
      <c r="C224" s="12" t="s">
        <v>901</v>
      </c>
      <c r="D224" s="12" t="s">
        <v>876</v>
      </c>
      <c r="E224" s="14" t="s">
        <v>974</v>
      </c>
      <c r="F224" s="14" t="s">
        <v>975</v>
      </c>
      <c r="G224" s="14" t="s">
        <v>165</v>
      </c>
      <c r="H224" s="14" t="s">
        <v>165</v>
      </c>
      <c r="I224" s="14" t="s">
        <v>98</v>
      </c>
      <c r="J224" s="12" t="s">
        <v>240</v>
      </c>
      <c r="K224" s="12" t="s">
        <v>60</v>
      </c>
      <c r="L224" s="15" t="s">
        <v>37</v>
      </c>
      <c r="M224" s="15" t="s">
        <v>37</v>
      </c>
      <c r="N224" s="14"/>
      <c r="O224" s="14" t="s">
        <v>486</v>
      </c>
      <c r="P224" s="12">
        <v>5</v>
      </c>
      <c r="Q224" s="19" t="s">
        <v>62</v>
      </c>
      <c r="R224" s="14" t="s">
        <v>976</v>
      </c>
      <c r="S224" s="12">
        <v>31</v>
      </c>
      <c r="T224" s="14" t="s">
        <v>311</v>
      </c>
      <c r="U224" s="14" t="s">
        <v>311</v>
      </c>
      <c r="V224" s="17" t="s">
        <v>977</v>
      </c>
    </row>
    <row r="225" spans="1:22" ht="22.8" x14ac:dyDescent="0.3">
      <c r="A225" s="12">
        <v>205</v>
      </c>
      <c r="B225" s="13" t="s">
        <v>978</v>
      </c>
      <c r="C225" s="12" t="s">
        <v>901</v>
      </c>
      <c r="D225" s="12" t="s">
        <v>979</v>
      </c>
      <c r="E225" s="14" t="s">
        <v>980</v>
      </c>
      <c r="F225" s="14" t="s">
        <v>981</v>
      </c>
      <c r="G225" s="14" t="s">
        <v>268</v>
      </c>
      <c r="H225" s="14" t="s">
        <v>165</v>
      </c>
      <c r="I225" s="14" t="s">
        <v>87</v>
      </c>
      <c r="J225" s="12" t="s">
        <v>166</v>
      </c>
      <c r="K225" s="12" t="s">
        <v>60</v>
      </c>
      <c r="L225" s="22" t="s">
        <v>146</v>
      </c>
      <c r="M225" s="15" t="s">
        <v>37</v>
      </c>
      <c r="N225" s="14"/>
      <c r="O225" s="14" t="s">
        <v>38</v>
      </c>
      <c r="P225" s="12" t="s">
        <v>34</v>
      </c>
      <c r="Q225" s="16" t="s">
        <v>39</v>
      </c>
      <c r="R225" s="14" t="s">
        <v>40</v>
      </c>
      <c r="S225" s="12">
        <v>0</v>
      </c>
      <c r="T225" s="14" t="s">
        <v>311</v>
      </c>
      <c r="U225" s="14" t="s">
        <v>311</v>
      </c>
      <c r="V225" s="17" t="s">
        <v>982</v>
      </c>
    </row>
    <row r="226" spans="1:22" ht="22.8" x14ac:dyDescent="0.3">
      <c r="A226" s="12">
        <v>206</v>
      </c>
      <c r="B226" s="13" t="s">
        <v>983</v>
      </c>
      <c r="C226" s="12" t="s">
        <v>901</v>
      </c>
      <c r="D226" s="12" t="s">
        <v>984</v>
      </c>
      <c r="E226" s="14" t="s">
        <v>985</v>
      </c>
      <c r="F226" s="14" t="s">
        <v>986</v>
      </c>
      <c r="G226" s="14" t="s">
        <v>57</v>
      </c>
      <c r="H226" s="14" t="s">
        <v>57</v>
      </c>
      <c r="I226" s="14" t="s">
        <v>98</v>
      </c>
      <c r="J226" s="12" t="s">
        <v>159</v>
      </c>
      <c r="K226" s="12" t="s">
        <v>60</v>
      </c>
      <c r="L226" s="15" t="s">
        <v>37</v>
      </c>
      <c r="M226" s="15" t="s">
        <v>37</v>
      </c>
      <c r="N226" s="14"/>
      <c r="O226" s="14" t="s">
        <v>456</v>
      </c>
      <c r="P226" s="12">
        <v>5</v>
      </c>
      <c r="Q226" s="19" t="s">
        <v>62</v>
      </c>
      <c r="R226" s="14" t="s">
        <v>40</v>
      </c>
      <c r="S226" s="12">
        <v>0</v>
      </c>
      <c r="T226" s="14" t="s">
        <v>174</v>
      </c>
      <c r="U226" s="14" t="s">
        <v>890</v>
      </c>
      <c r="V226" s="17" t="s">
        <v>987</v>
      </c>
    </row>
    <row r="227" spans="1:22" x14ac:dyDescent="0.3">
      <c r="A227" s="12">
        <v>207</v>
      </c>
      <c r="B227" s="13" t="s">
        <v>988</v>
      </c>
      <c r="C227" s="12" t="s">
        <v>901</v>
      </c>
      <c r="D227" s="12" t="s">
        <v>360</v>
      </c>
      <c r="E227" s="14" t="s">
        <v>34</v>
      </c>
      <c r="F227" s="14" t="s">
        <v>34</v>
      </c>
      <c r="G227" s="14" t="s">
        <v>35</v>
      </c>
      <c r="H227" s="14" t="s">
        <v>35</v>
      </c>
      <c r="I227" s="14" t="s">
        <v>36</v>
      </c>
      <c r="J227" s="12" t="s">
        <v>34</v>
      </c>
      <c r="K227" s="12" t="s">
        <v>34</v>
      </c>
      <c r="L227" s="15" t="s">
        <v>37</v>
      </c>
      <c r="M227" s="15" t="s">
        <v>37</v>
      </c>
      <c r="N227" s="14"/>
      <c r="O227" s="14" t="s">
        <v>38</v>
      </c>
      <c r="P227" s="12" t="s">
        <v>34</v>
      </c>
      <c r="Q227" s="16" t="s">
        <v>39</v>
      </c>
      <c r="R227" s="14" t="s">
        <v>40</v>
      </c>
      <c r="S227" s="12">
        <v>0</v>
      </c>
      <c r="T227" s="14" t="s">
        <v>41</v>
      </c>
      <c r="U227" s="14" t="s">
        <v>41</v>
      </c>
      <c r="V227" s="17"/>
    </row>
    <row r="228" spans="1:22" x14ac:dyDescent="0.3">
      <c r="A228" s="12">
        <v>208</v>
      </c>
      <c r="B228" s="13" t="s">
        <v>989</v>
      </c>
      <c r="C228" s="12" t="s">
        <v>901</v>
      </c>
      <c r="D228" s="12" t="s">
        <v>122</v>
      </c>
      <c r="E228" s="14" t="s">
        <v>990</v>
      </c>
      <c r="F228" s="14" t="s">
        <v>991</v>
      </c>
      <c r="G228" s="14" t="s">
        <v>664</v>
      </c>
      <c r="H228" s="14" t="s">
        <v>165</v>
      </c>
      <c r="I228" s="14" t="s">
        <v>98</v>
      </c>
      <c r="J228" s="12" t="s">
        <v>992</v>
      </c>
      <c r="K228" s="12" t="s">
        <v>60</v>
      </c>
      <c r="L228" s="22" t="s">
        <v>146</v>
      </c>
      <c r="M228" s="15" t="s">
        <v>37</v>
      </c>
      <c r="N228" s="14"/>
      <c r="O228" s="14" t="s">
        <v>456</v>
      </c>
      <c r="P228" s="12">
        <v>1</v>
      </c>
      <c r="Q228" s="19" t="s">
        <v>62</v>
      </c>
      <c r="R228" s="14" t="s">
        <v>993</v>
      </c>
      <c r="S228" s="12">
        <v>0</v>
      </c>
      <c r="T228" s="14" t="s">
        <v>174</v>
      </c>
      <c r="U228" s="14" t="s">
        <v>174</v>
      </c>
      <c r="V228" s="17" t="s">
        <v>994</v>
      </c>
    </row>
    <row r="229" spans="1:22" ht="22.8" x14ac:dyDescent="0.3">
      <c r="A229" s="12">
        <v>209</v>
      </c>
      <c r="B229" s="13" t="s">
        <v>995</v>
      </c>
      <c r="C229" s="12" t="s">
        <v>901</v>
      </c>
      <c r="D229" s="12" t="s">
        <v>122</v>
      </c>
      <c r="E229" s="14" t="s">
        <v>996</v>
      </c>
      <c r="F229" s="14" t="s">
        <v>997</v>
      </c>
      <c r="G229" s="14" t="s">
        <v>57</v>
      </c>
      <c r="H229" s="14" t="s">
        <v>57</v>
      </c>
      <c r="I229" s="14" t="s">
        <v>98</v>
      </c>
      <c r="J229" s="12" t="s">
        <v>251</v>
      </c>
      <c r="K229" s="12" t="s">
        <v>60</v>
      </c>
      <c r="L229" s="18" t="s">
        <v>60</v>
      </c>
      <c r="M229" s="18" t="s">
        <v>60</v>
      </c>
      <c r="N229" s="14" t="s">
        <v>998</v>
      </c>
      <c r="O229" s="14" t="s">
        <v>199</v>
      </c>
      <c r="P229" s="12">
        <v>6</v>
      </c>
      <c r="Q229" s="21" t="s">
        <v>136</v>
      </c>
      <c r="R229" s="14" t="s">
        <v>999</v>
      </c>
      <c r="S229" s="12">
        <v>14</v>
      </c>
      <c r="T229" s="14" t="s">
        <v>311</v>
      </c>
      <c r="U229" s="14" t="s">
        <v>311</v>
      </c>
      <c r="V229" s="17" t="s">
        <v>1000</v>
      </c>
    </row>
    <row r="230" spans="1:22" ht="34.200000000000003" x14ac:dyDescent="0.3">
      <c r="A230" s="12">
        <v>210</v>
      </c>
      <c r="B230" s="13" t="s">
        <v>1001</v>
      </c>
      <c r="C230" s="12" t="s">
        <v>901</v>
      </c>
      <c r="D230" s="12" t="s">
        <v>126</v>
      </c>
      <c r="E230" s="14" t="s">
        <v>1002</v>
      </c>
      <c r="F230" s="14" t="s">
        <v>1003</v>
      </c>
      <c r="G230" s="14" t="s">
        <v>97</v>
      </c>
      <c r="H230" s="14" t="s">
        <v>86</v>
      </c>
      <c r="I230" s="14" t="s">
        <v>212</v>
      </c>
      <c r="J230" s="12" t="s">
        <v>258</v>
      </c>
      <c r="K230" s="12" t="s">
        <v>60</v>
      </c>
      <c r="L230" s="18" t="s">
        <v>60</v>
      </c>
      <c r="M230" s="18" t="s">
        <v>60</v>
      </c>
      <c r="N230" s="14"/>
      <c r="O230" s="14" t="s">
        <v>318</v>
      </c>
      <c r="P230" s="12">
        <v>12</v>
      </c>
      <c r="Q230" s="20" t="s">
        <v>101</v>
      </c>
      <c r="R230" s="14" t="s">
        <v>40</v>
      </c>
      <c r="S230" s="12">
        <v>17</v>
      </c>
      <c r="T230" s="14" t="s">
        <v>64</v>
      </c>
      <c r="U230" s="14" t="s">
        <v>879</v>
      </c>
      <c r="V230" s="17" t="s">
        <v>1004</v>
      </c>
    </row>
    <row r="231" spans="1:22" x14ac:dyDescent="0.3">
      <c r="A231" s="12">
        <v>211</v>
      </c>
      <c r="B231" s="13" t="s">
        <v>1005</v>
      </c>
      <c r="C231" s="12" t="s">
        <v>901</v>
      </c>
      <c r="D231" s="12" t="s">
        <v>386</v>
      </c>
      <c r="E231" s="14" t="s">
        <v>34</v>
      </c>
      <c r="F231" s="14" t="s">
        <v>34</v>
      </c>
      <c r="G231" s="14" t="s">
        <v>35</v>
      </c>
      <c r="H231" s="14" t="s">
        <v>35</v>
      </c>
      <c r="I231" s="14" t="s">
        <v>36</v>
      </c>
      <c r="J231" s="12" t="s">
        <v>34</v>
      </c>
      <c r="K231" s="12" t="s">
        <v>34</v>
      </c>
      <c r="L231" s="15" t="s">
        <v>37</v>
      </c>
      <c r="M231" s="15" t="s">
        <v>37</v>
      </c>
      <c r="N231" s="14"/>
      <c r="O231" s="14" t="s">
        <v>38</v>
      </c>
      <c r="P231" s="12" t="s">
        <v>34</v>
      </c>
      <c r="Q231" s="16" t="s">
        <v>39</v>
      </c>
      <c r="R231" s="14" t="s">
        <v>40</v>
      </c>
      <c r="S231" s="12">
        <v>0</v>
      </c>
      <c r="T231" s="14" t="s">
        <v>41</v>
      </c>
      <c r="U231" s="14" t="s">
        <v>41</v>
      </c>
      <c r="V231" s="17"/>
    </row>
    <row r="232" spans="1:22" x14ac:dyDescent="0.3">
      <c r="A232" s="12">
        <v>212</v>
      </c>
      <c r="B232" s="13" t="s">
        <v>1006</v>
      </c>
      <c r="C232" s="12" t="s">
        <v>901</v>
      </c>
      <c r="D232" s="12" t="s">
        <v>1007</v>
      </c>
      <c r="E232" s="14" t="s">
        <v>34</v>
      </c>
      <c r="F232" s="14" t="s">
        <v>34</v>
      </c>
      <c r="G232" s="14" t="s">
        <v>35</v>
      </c>
      <c r="H232" s="14" t="s">
        <v>35</v>
      </c>
      <c r="I232" s="14" t="s">
        <v>36</v>
      </c>
      <c r="J232" s="12" t="s">
        <v>34</v>
      </c>
      <c r="K232" s="12" t="s">
        <v>34</v>
      </c>
      <c r="L232" s="15" t="s">
        <v>37</v>
      </c>
      <c r="M232" s="15" t="s">
        <v>37</v>
      </c>
      <c r="N232" s="14"/>
      <c r="O232" s="14" t="s">
        <v>38</v>
      </c>
      <c r="P232" s="12" t="s">
        <v>34</v>
      </c>
      <c r="Q232" s="16" t="s">
        <v>39</v>
      </c>
      <c r="R232" s="14" t="s">
        <v>40</v>
      </c>
      <c r="S232" s="12">
        <v>0</v>
      </c>
      <c r="T232" s="14" t="s">
        <v>41</v>
      </c>
      <c r="U232" s="14" t="s">
        <v>41</v>
      </c>
      <c r="V232" s="17"/>
    </row>
    <row r="234" spans="1:22" x14ac:dyDescent="0.3">
      <c r="A234" s="10" t="s">
        <v>1008</v>
      </c>
      <c r="B234" s="11"/>
      <c r="C234" s="11"/>
      <c r="D234" s="11"/>
      <c r="E234" s="11"/>
      <c r="F234" s="11"/>
      <c r="G234" s="11"/>
      <c r="H234" s="11"/>
      <c r="I234" s="11"/>
      <c r="J234" s="11"/>
      <c r="K234" s="11"/>
      <c r="L234" s="11"/>
      <c r="M234" s="11"/>
      <c r="N234" s="11"/>
      <c r="O234" s="11"/>
      <c r="P234" s="11"/>
      <c r="Q234" s="11"/>
      <c r="R234" s="11"/>
      <c r="S234" s="11"/>
      <c r="T234" s="11"/>
      <c r="U234" s="11"/>
      <c r="V234" s="11"/>
    </row>
    <row r="235" spans="1:22" ht="22.8" x14ac:dyDescent="0.3">
      <c r="A235" s="12">
        <v>213</v>
      </c>
      <c r="B235" s="13" t="s">
        <v>1009</v>
      </c>
      <c r="C235" s="12" t="s">
        <v>1010</v>
      </c>
      <c r="D235" s="12" t="s">
        <v>33</v>
      </c>
      <c r="E235" s="14" t="s">
        <v>727</v>
      </c>
      <c r="F235" s="14" t="s">
        <v>728</v>
      </c>
      <c r="G235" s="14" t="s">
        <v>57</v>
      </c>
      <c r="H235" s="14" t="s">
        <v>57</v>
      </c>
      <c r="I235" s="14" t="s">
        <v>98</v>
      </c>
      <c r="J235" s="12" t="s">
        <v>159</v>
      </c>
      <c r="K235" s="12" t="s">
        <v>60</v>
      </c>
      <c r="L235" s="15" t="s">
        <v>37</v>
      </c>
      <c r="M235" s="22" t="s">
        <v>146</v>
      </c>
      <c r="N235" s="14"/>
      <c r="O235" s="14" t="s">
        <v>456</v>
      </c>
      <c r="P235" s="12">
        <v>3</v>
      </c>
      <c r="Q235" s="19" t="s">
        <v>62</v>
      </c>
      <c r="R235" s="14" t="s">
        <v>40</v>
      </c>
      <c r="S235" s="12">
        <v>0</v>
      </c>
      <c r="T235" s="14" t="s">
        <v>174</v>
      </c>
      <c r="U235" s="14" t="s">
        <v>499</v>
      </c>
      <c r="V235" s="17" t="s">
        <v>1011</v>
      </c>
    </row>
    <row r="236" spans="1:22" ht="34.200000000000003" x14ac:dyDescent="0.3">
      <c r="A236" s="12">
        <v>214</v>
      </c>
      <c r="B236" s="13" t="s">
        <v>1012</v>
      </c>
      <c r="C236" s="12" t="s">
        <v>1010</v>
      </c>
      <c r="D236" s="12" t="s">
        <v>33</v>
      </c>
      <c r="E236" s="14" t="s">
        <v>1013</v>
      </c>
      <c r="F236" s="14" t="s">
        <v>1014</v>
      </c>
      <c r="G236" s="14" t="s">
        <v>57</v>
      </c>
      <c r="H236" s="14" t="s">
        <v>57</v>
      </c>
      <c r="I236" s="14" t="s">
        <v>98</v>
      </c>
      <c r="J236" s="12" t="s">
        <v>99</v>
      </c>
      <c r="K236" s="12" t="s">
        <v>60</v>
      </c>
      <c r="L236" s="22" t="s">
        <v>146</v>
      </c>
      <c r="M236" s="18" t="s">
        <v>60</v>
      </c>
      <c r="N236" s="14"/>
      <c r="O236" s="14" t="s">
        <v>89</v>
      </c>
      <c r="P236" s="12">
        <v>1</v>
      </c>
      <c r="Q236" s="19" t="s">
        <v>62</v>
      </c>
      <c r="R236" s="14" t="s">
        <v>147</v>
      </c>
      <c r="S236" s="12">
        <v>13</v>
      </c>
      <c r="T236" s="14" t="s">
        <v>138</v>
      </c>
      <c r="U236" s="14" t="s">
        <v>1015</v>
      </c>
      <c r="V236" s="17" t="s">
        <v>1016</v>
      </c>
    </row>
    <row r="237" spans="1:22" ht="34.200000000000003" x14ac:dyDescent="0.3">
      <c r="A237" s="12">
        <v>215</v>
      </c>
      <c r="B237" s="13" t="s">
        <v>1017</v>
      </c>
      <c r="C237" s="12" t="s">
        <v>1010</v>
      </c>
      <c r="D237" s="12" t="s">
        <v>33</v>
      </c>
      <c r="E237" s="14" t="s">
        <v>1018</v>
      </c>
      <c r="F237" s="14" t="s">
        <v>1019</v>
      </c>
      <c r="G237" s="14" t="s">
        <v>165</v>
      </c>
      <c r="H237" s="14" t="s">
        <v>97</v>
      </c>
      <c r="I237" s="14" t="s">
        <v>98</v>
      </c>
      <c r="J237" s="12" t="s">
        <v>528</v>
      </c>
      <c r="K237" s="12" t="s">
        <v>60</v>
      </c>
      <c r="L237" s="15" t="s">
        <v>37</v>
      </c>
      <c r="M237" s="15" t="s">
        <v>37</v>
      </c>
      <c r="N237" s="14"/>
      <c r="O237" s="14" t="s">
        <v>135</v>
      </c>
      <c r="P237" s="12">
        <v>9</v>
      </c>
      <c r="Q237" s="21" t="s">
        <v>136</v>
      </c>
      <c r="R237" s="14" t="s">
        <v>40</v>
      </c>
      <c r="S237" s="12">
        <v>51</v>
      </c>
      <c r="T237" s="14" t="s">
        <v>181</v>
      </c>
      <c r="U237" s="14" t="s">
        <v>181</v>
      </c>
      <c r="V237" s="17" t="s">
        <v>1020</v>
      </c>
    </row>
    <row r="238" spans="1:22" ht="34.200000000000003" x14ac:dyDescent="0.3">
      <c r="A238" s="12">
        <v>216</v>
      </c>
      <c r="B238" s="13" t="s">
        <v>1021</v>
      </c>
      <c r="C238" s="12" t="s">
        <v>1010</v>
      </c>
      <c r="D238" s="12" t="s">
        <v>33</v>
      </c>
      <c r="E238" s="14" t="s">
        <v>1022</v>
      </c>
      <c r="F238" s="14" t="s">
        <v>413</v>
      </c>
      <c r="G238" s="14" t="s">
        <v>278</v>
      </c>
      <c r="H238" s="14" t="s">
        <v>86</v>
      </c>
      <c r="I238" s="14" t="s">
        <v>98</v>
      </c>
      <c r="J238" s="12" t="s">
        <v>414</v>
      </c>
      <c r="K238" s="12" t="s">
        <v>60</v>
      </c>
      <c r="L238" s="15" t="s">
        <v>37</v>
      </c>
      <c r="M238" s="15" t="s">
        <v>37</v>
      </c>
      <c r="N238" s="14"/>
      <c r="O238" s="14" t="s">
        <v>153</v>
      </c>
      <c r="P238" s="12">
        <v>6</v>
      </c>
      <c r="Q238" s="21" t="s">
        <v>136</v>
      </c>
      <c r="R238" s="14" t="s">
        <v>40</v>
      </c>
      <c r="S238" s="12">
        <v>22</v>
      </c>
      <c r="T238" s="14" t="s">
        <v>64</v>
      </c>
      <c r="U238" s="14" t="s">
        <v>1023</v>
      </c>
      <c r="V238" s="17" t="s">
        <v>1024</v>
      </c>
    </row>
    <row r="239" spans="1:22" ht="34.200000000000003" x14ac:dyDescent="0.3">
      <c r="A239" s="12">
        <v>217</v>
      </c>
      <c r="B239" s="13" t="s">
        <v>1025</v>
      </c>
      <c r="C239" s="12" t="s">
        <v>1010</v>
      </c>
      <c r="D239" s="12" t="s">
        <v>51</v>
      </c>
      <c r="E239" s="14" t="s">
        <v>1026</v>
      </c>
      <c r="F239" s="14" t="s">
        <v>1027</v>
      </c>
      <c r="G239" s="14" t="s">
        <v>278</v>
      </c>
      <c r="H239" s="14" t="s">
        <v>57</v>
      </c>
      <c r="I239" s="14" t="s">
        <v>58</v>
      </c>
      <c r="J239" s="12" t="s">
        <v>59</v>
      </c>
      <c r="K239" s="12" t="s">
        <v>60</v>
      </c>
      <c r="L239" s="22" t="s">
        <v>146</v>
      </c>
      <c r="M239" s="18" t="s">
        <v>60</v>
      </c>
      <c r="N239" s="14"/>
      <c r="O239" s="14" t="s">
        <v>61</v>
      </c>
      <c r="P239" s="12">
        <v>3</v>
      </c>
      <c r="Q239" s="19" t="s">
        <v>62</v>
      </c>
      <c r="R239" s="14" t="s">
        <v>40</v>
      </c>
      <c r="S239" s="12">
        <v>37</v>
      </c>
      <c r="T239" s="14" t="s">
        <v>367</v>
      </c>
      <c r="U239" s="14" t="s">
        <v>1028</v>
      </c>
      <c r="V239" s="17" t="s">
        <v>1029</v>
      </c>
    </row>
    <row r="240" spans="1:22" x14ac:dyDescent="0.3">
      <c r="A240" s="12">
        <v>218</v>
      </c>
      <c r="B240" s="13" t="s">
        <v>1030</v>
      </c>
      <c r="C240" s="12" t="s">
        <v>1010</v>
      </c>
      <c r="D240" s="12" t="s">
        <v>51</v>
      </c>
      <c r="E240" s="14" t="s">
        <v>1031</v>
      </c>
      <c r="F240" s="14" t="s">
        <v>1032</v>
      </c>
      <c r="G240" s="14" t="s">
        <v>57</v>
      </c>
      <c r="H240" s="14" t="s">
        <v>278</v>
      </c>
      <c r="I240" s="14" t="s">
        <v>87</v>
      </c>
      <c r="J240" s="12" t="s">
        <v>206</v>
      </c>
      <c r="K240" s="12" t="s">
        <v>60</v>
      </c>
      <c r="L240" s="22" t="s">
        <v>146</v>
      </c>
      <c r="M240" s="18" t="s">
        <v>60</v>
      </c>
      <c r="N240" s="14"/>
      <c r="O240" s="14" t="s">
        <v>135</v>
      </c>
      <c r="P240" s="12">
        <v>9</v>
      </c>
      <c r="Q240" s="21" t="s">
        <v>136</v>
      </c>
      <c r="R240" s="14" t="s">
        <v>1033</v>
      </c>
      <c r="S240" s="12">
        <v>51</v>
      </c>
      <c r="T240" s="14" t="s">
        <v>41</v>
      </c>
      <c r="U240" s="14" t="s">
        <v>41</v>
      </c>
      <c r="V240" s="17" t="s">
        <v>280</v>
      </c>
    </row>
    <row r="241" spans="1:22" ht="22.8" x14ac:dyDescent="0.3">
      <c r="A241" s="12">
        <v>219</v>
      </c>
      <c r="B241" s="13" t="s">
        <v>1034</v>
      </c>
      <c r="C241" s="12" t="s">
        <v>1010</v>
      </c>
      <c r="D241" s="12" t="s">
        <v>51</v>
      </c>
      <c r="E241" s="14" t="s">
        <v>1035</v>
      </c>
      <c r="F241" s="14" t="s">
        <v>298</v>
      </c>
      <c r="G241" s="14" t="s">
        <v>57</v>
      </c>
      <c r="H241" s="14" t="s">
        <v>86</v>
      </c>
      <c r="I241" s="14" t="s">
        <v>212</v>
      </c>
      <c r="J241" s="12" t="s">
        <v>213</v>
      </c>
      <c r="K241" s="12" t="s">
        <v>60</v>
      </c>
      <c r="L241" s="18" t="s">
        <v>60</v>
      </c>
      <c r="M241" s="18" t="s">
        <v>60</v>
      </c>
      <c r="N241" s="14"/>
      <c r="O241" s="14" t="s">
        <v>318</v>
      </c>
      <c r="P241" s="12">
        <v>12</v>
      </c>
      <c r="Q241" s="20" t="s">
        <v>101</v>
      </c>
      <c r="R241" s="14" t="s">
        <v>40</v>
      </c>
      <c r="S241" s="12">
        <v>17</v>
      </c>
      <c r="T241" s="14" t="s">
        <v>91</v>
      </c>
      <c r="U241" s="14" t="s">
        <v>91</v>
      </c>
      <c r="V241" s="17" t="s">
        <v>1036</v>
      </c>
    </row>
    <row r="242" spans="1:22" ht="34.200000000000003" x14ac:dyDescent="0.3">
      <c r="A242" s="12">
        <v>220</v>
      </c>
      <c r="B242" s="13" t="s">
        <v>1037</v>
      </c>
      <c r="C242" s="12" t="s">
        <v>1010</v>
      </c>
      <c r="D242" s="12" t="s">
        <v>70</v>
      </c>
      <c r="E242" s="14" t="s">
        <v>1038</v>
      </c>
      <c r="F242" s="14" t="s">
        <v>1039</v>
      </c>
      <c r="G242" s="14" t="s">
        <v>57</v>
      </c>
      <c r="H242" s="14" t="s">
        <v>86</v>
      </c>
      <c r="I242" s="14" t="s">
        <v>87</v>
      </c>
      <c r="J242" s="12" t="s">
        <v>539</v>
      </c>
      <c r="K242" s="12" t="s">
        <v>60</v>
      </c>
      <c r="L242" s="15" t="s">
        <v>37</v>
      </c>
      <c r="M242" s="15" t="s">
        <v>37</v>
      </c>
      <c r="N242" s="14"/>
      <c r="O242" s="14" t="s">
        <v>878</v>
      </c>
      <c r="P242" s="12">
        <v>8</v>
      </c>
      <c r="Q242" s="21" t="s">
        <v>136</v>
      </c>
      <c r="R242" s="14" t="s">
        <v>1040</v>
      </c>
      <c r="S242" s="12">
        <v>6</v>
      </c>
      <c r="T242" s="14" t="s">
        <v>138</v>
      </c>
      <c r="U242" s="14" t="s">
        <v>1041</v>
      </c>
      <c r="V242" s="17" t="s">
        <v>1042</v>
      </c>
    </row>
    <row r="243" spans="1:22" ht="22.8" x14ac:dyDescent="0.3">
      <c r="A243" s="12">
        <v>221</v>
      </c>
      <c r="B243" s="13" t="s">
        <v>1043</v>
      </c>
      <c r="C243" s="12" t="s">
        <v>1010</v>
      </c>
      <c r="D243" s="12" t="s">
        <v>73</v>
      </c>
      <c r="E243" s="14" t="s">
        <v>1044</v>
      </c>
      <c r="F243" s="14" t="s">
        <v>1045</v>
      </c>
      <c r="G243" s="14" t="s">
        <v>97</v>
      </c>
      <c r="H243" s="14" t="s">
        <v>57</v>
      </c>
      <c r="I243" s="14" t="s">
        <v>98</v>
      </c>
      <c r="J243" s="12" t="s">
        <v>159</v>
      </c>
      <c r="K243" s="12" t="s">
        <v>60</v>
      </c>
      <c r="L243" s="18" t="s">
        <v>60</v>
      </c>
      <c r="M243" s="18" t="s">
        <v>60</v>
      </c>
      <c r="N243" s="14"/>
      <c r="O243" s="14" t="s">
        <v>61</v>
      </c>
      <c r="P243" s="12">
        <v>3</v>
      </c>
      <c r="Q243" s="19" t="s">
        <v>62</v>
      </c>
      <c r="R243" s="14" t="s">
        <v>1046</v>
      </c>
      <c r="S243" s="12">
        <v>37</v>
      </c>
      <c r="T243" s="14" t="s">
        <v>41</v>
      </c>
      <c r="U243" s="14" t="s">
        <v>41</v>
      </c>
      <c r="V243" s="17" t="s">
        <v>1047</v>
      </c>
    </row>
    <row r="244" spans="1:22" ht="34.200000000000003" x14ac:dyDescent="0.3">
      <c r="A244" s="12">
        <v>222</v>
      </c>
      <c r="B244" s="13" t="s">
        <v>1048</v>
      </c>
      <c r="C244" s="12" t="s">
        <v>1010</v>
      </c>
      <c r="D244" s="12" t="s">
        <v>73</v>
      </c>
      <c r="E244" s="14" t="s">
        <v>1049</v>
      </c>
      <c r="F244" s="14" t="s">
        <v>1050</v>
      </c>
      <c r="G244" s="14" t="s">
        <v>165</v>
      </c>
      <c r="H244" s="14" t="s">
        <v>377</v>
      </c>
      <c r="I244" s="14" t="s">
        <v>87</v>
      </c>
      <c r="J244" s="12" t="s">
        <v>378</v>
      </c>
      <c r="K244" s="12" t="s">
        <v>60</v>
      </c>
      <c r="L244" s="22" t="s">
        <v>146</v>
      </c>
      <c r="M244" s="15" t="s">
        <v>37</v>
      </c>
      <c r="N244" s="14"/>
      <c r="O244" s="14" t="s">
        <v>100</v>
      </c>
      <c r="P244" s="12">
        <v>11</v>
      </c>
      <c r="Q244" s="20" t="s">
        <v>101</v>
      </c>
      <c r="R244" s="14" t="s">
        <v>40</v>
      </c>
      <c r="S244" s="12">
        <v>9</v>
      </c>
      <c r="T244" s="14" t="s">
        <v>64</v>
      </c>
      <c r="U244" s="14" t="s">
        <v>333</v>
      </c>
      <c r="V244" s="17" t="s">
        <v>1051</v>
      </c>
    </row>
    <row r="245" spans="1:22" ht="22.8" x14ac:dyDescent="0.3">
      <c r="A245" s="12">
        <v>223</v>
      </c>
      <c r="B245" s="13" t="s">
        <v>1052</v>
      </c>
      <c r="C245" s="12" t="s">
        <v>1010</v>
      </c>
      <c r="D245" s="12" t="s">
        <v>75</v>
      </c>
      <c r="E245" s="14" t="s">
        <v>1053</v>
      </c>
      <c r="F245" s="14" t="s">
        <v>1054</v>
      </c>
      <c r="G245" s="14" t="s">
        <v>57</v>
      </c>
      <c r="H245" s="14" t="s">
        <v>97</v>
      </c>
      <c r="I245" s="14" t="s">
        <v>98</v>
      </c>
      <c r="J245" s="12" t="s">
        <v>134</v>
      </c>
      <c r="K245" s="12" t="s">
        <v>60</v>
      </c>
      <c r="L245" s="18" t="s">
        <v>60</v>
      </c>
      <c r="M245" s="18" t="s">
        <v>60</v>
      </c>
      <c r="N245" s="14"/>
      <c r="O245" s="14" t="s">
        <v>932</v>
      </c>
      <c r="P245" s="12">
        <v>12</v>
      </c>
      <c r="Q245" s="20" t="s">
        <v>101</v>
      </c>
      <c r="R245" s="14" t="s">
        <v>40</v>
      </c>
      <c r="S245" s="12">
        <v>0</v>
      </c>
      <c r="T245" s="14" t="s">
        <v>41</v>
      </c>
      <c r="U245" s="14" t="s">
        <v>41</v>
      </c>
      <c r="V245" s="17" t="s">
        <v>1055</v>
      </c>
    </row>
    <row r="246" spans="1:22" x14ac:dyDescent="0.3">
      <c r="A246" s="12">
        <v>224</v>
      </c>
      <c r="B246" s="13" t="s">
        <v>1056</v>
      </c>
      <c r="C246" s="12" t="s">
        <v>1010</v>
      </c>
      <c r="D246" s="12" t="s">
        <v>77</v>
      </c>
      <c r="E246" s="14" t="s">
        <v>1057</v>
      </c>
      <c r="F246" s="14" t="s">
        <v>1058</v>
      </c>
      <c r="G246" s="14" t="s">
        <v>165</v>
      </c>
      <c r="H246" s="14" t="s">
        <v>268</v>
      </c>
      <c r="I246" s="14" t="s">
        <v>87</v>
      </c>
      <c r="J246" s="12" t="s">
        <v>269</v>
      </c>
      <c r="K246" s="12" t="s">
        <v>60</v>
      </c>
      <c r="L246" s="15" t="s">
        <v>37</v>
      </c>
      <c r="M246" s="15" t="s">
        <v>37</v>
      </c>
      <c r="N246" s="14" t="s">
        <v>998</v>
      </c>
      <c r="O246" s="14" t="s">
        <v>1059</v>
      </c>
      <c r="P246" s="12" t="s">
        <v>34</v>
      </c>
      <c r="Q246" s="16" t="s">
        <v>39</v>
      </c>
      <c r="R246" s="14" t="s">
        <v>717</v>
      </c>
      <c r="S246" s="12">
        <v>0</v>
      </c>
      <c r="T246" s="14" t="s">
        <v>138</v>
      </c>
      <c r="U246" s="14" t="s">
        <v>138</v>
      </c>
      <c r="V246" s="17" t="s">
        <v>1060</v>
      </c>
    </row>
    <row r="247" spans="1:22" x14ac:dyDescent="0.3">
      <c r="A247" s="12">
        <v>225</v>
      </c>
      <c r="B247" s="13" t="s">
        <v>1061</v>
      </c>
      <c r="C247" s="12" t="s">
        <v>1010</v>
      </c>
      <c r="D247" s="12" t="s">
        <v>94</v>
      </c>
      <c r="E247" s="14" t="s">
        <v>1062</v>
      </c>
      <c r="F247" s="14" t="s">
        <v>1063</v>
      </c>
      <c r="G247" s="14" t="s">
        <v>363</v>
      </c>
      <c r="H247" s="14" t="s">
        <v>165</v>
      </c>
      <c r="I247" s="14" t="s">
        <v>98</v>
      </c>
      <c r="J247" s="12" t="s">
        <v>715</v>
      </c>
      <c r="K247" s="12" t="s">
        <v>60</v>
      </c>
      <c r="L247" s="15" t="s">
        <v>37</v>
      </c>
      <c r="M247" s="15" t="s">
        <v>37</v>
      </c>
      <c r="N247" s="14"/>
      <c r="O247" s="14" t="s">
        <v>318</v>
      </c>
      <c r="P247" s="12">
        <v>12</v>
      </c>
      <c r="Q247" s="20" t="s">
        <v>101</v>
      </c>
      <c r="R247" s="14" t="s">
        <v>40</v>
      </c>
      <c r="S247" s="12">
        <v>17</v>
      </c>
      <c r="T247" s="14" t="s">
        <v>41</v>
      </c>
      <c r="U247" s="14" t="s">
        <v>41</v>
      </c>
      <c r="V247" s="17" t="s">
        <v>1064</v>
      </c>
    </row>
    <row r="248" spans="1:22" ht="45.6" x14ac:dyDescent="0.3">
      <c r="A248" s="12">
        <v>226</v>
      </c>
      <c r="B248" s="13" t="s">
        <v>1065</v>
      </c>
      <c r="C248" s="12" t="s">
        <v>1010</v>
      </c>
      <c r="D248" s="12" t="s">
        <v>1066</v>
      </c>
      <c r="E248" s="14" t="s">
        <v>1067</v>
      </c>
      <c r="F248" s="14" t="s">
        <v>1068</v>
      </c>
      <c r="G248" s="14" t="s">
        <v>57</v>
      </c>
      <c r="H248" s="14" t="s">
        <v>268</v>
      </c>
      <c r="I248" s="14" t="s">
        <v>58</v>
      </c>
      <c r="J248" s="12" t="s">
        <v>1069</v>
      </c>
      <c r="K248" s="12" t="s">
        <v>60</v>
      </c>
      <c r="L248" s="18" t="s">
        <v>60</v>
      </c>
      <c r="M248" s="18" t="s">
        <v>60</v>
      </c>
      <c r="N248" s="14"/>
      <c r="O248" s="14" t="s">
        <v>365</v>
      </c>
      <c r="P248" s="12">
        <v>7</v>
      </c>
      <c r="Q248" s="21" t="s">
        <v>136</v>
      </c>
      <c r="R248" s="14" t="s">
        <v>366</v>
      </c>
      <c r="S248" s="12">
        <v>14</v>
      </c>
      <c r="T248" s="14" t="s">
        <v>138</v>
      </c>
      <c r="U248" s="14" t="s">
        <v>1070</v>
      </c>
      <c r="V248" s="17" t="s">
        <v>1071</v>
      </c>
    </row>
    <row r="249" spans="1:22" x14ac:dyDescent="0.3">
      <c r="A249" s="12">
        <v>227</v>
      </c>
      <c r="B249" s="13" t="s">
        <v>1072</v>
      </c>
      <c r="C249" s="12" t="s">
        <v>1010</v>
      </c>
      <c r="D249" s="12" t="s">
        <v>1066</v>
      </c>
      <c r="E249" s="14" t="s">
        <v>1073</v>
      </c>
      <c r="F249" s="14" t="s">
        <v>1074</v>
      </c>
      <c r="G249" s="14" t="s">
        <v>363</v>
      </c>
      <c r="H249" s="14" t="s">
        <v>57</v>
      </c>
      <c r="I249" s="14" t="s">
        <v>212</v>
      </c>
      <c r="J249" s="12" t="s">
        <v>564</v>
      </c>
      <c r="K249" s="12" t="s">
        <v>60</v>
      </c>
      <c r="L249" s="15" t="s">
        <v>37</v>
      </c>
      <c r="M249" s="15" t="s">
        <v>37</v>
      </c>
      <c r="N249" s="14"/>
      <c r="O249" s="14" t="s">
        <v>1075</v>
      </c>
      <c r="P249" s="12">
        <v>12</v>
      </c>
      <c r="Q249" s="20" t="s">
        <v>101</v>
      </c>
      <c r="R249" s="14" t="s">
        <v>40</v>
      </c>
      <c r="S249" s="12">
        <v>0</v>
      </c>
      <c r="T249" s="14" t="s">
        <v>41</v>
      </c>
      <c r="U249" s="14" t="s">
        <v>41</v>
      </c>
      <c r="V249" s="17" t="s">
        <v>1076</v>
      </c>
    </row>
    <row r="250" spans="1:22" ht="34.200000000000003" x14ac:dyDescent="0.3">
      <c r="A250" s="12">
        <v>228</v>
      </c>
      <c r="B250" s="13" t="s">
        <v>1077</v>
      </c>
      <c r="C250" s="12" t="s">
        <v>1010</v>
      </c>
      <c r="D250" s="12" t="s">
        <v>1078</v>
      </c>
      <c r="E250" s="14" t="s">
        <v>1079</v>
      </c>
      <c r="F250" s="14" t="s">
        <v>1080</v>
      </c>
      <c r="G250" s="14" t="s">
        <v>57</v>
      </c>
      <c r="H250" s="14" t="s">
        <v>57</v>
      </c>
      <c r="I250" s="14" t="s">
        <v>98</v>
      </c>
      <c r="J250" s="12" t="s">
        <v>159</v>
      </c>
      <c r="K250" s="12" t="s">
        <v>60</v>
      </c>
      <c r="L250" s="18" t="s">
        <v>60</v>
      </c>
      <c r="M250" s="18" t="s">
        <v>60</v>
      </c>
      <c r="N250" s="14"/>
      <c r="O250" s="14" t="s">
        <v>135</v>
      </c>
      <c r="P250" s="12">
        <v>9</v>
      </c>
      <c r="Q250" s="21" t="s">
        <v>136</v>
      </c>
      <c r="R250" s="14" t="s">
        <v>1081</v>
      </c>
      <c r="S250" s="12">
        <v>51</v>
      </c>
      <c r="T250" s="14" t="s">
        <v>138</v>
      </c>
      <c r="U250" s="14" t="s">
        <v>1082</v>
      </c>
      <c r="V250" s="17" t="s">
        <v>1083</v>
      </c>
    </row>
    <row r="251" spans="1:22" ht="34.200000000000003" x14ac:dyDescent="0.3">
      <c r="A251" s="12">
        <v>229</v>
      </c>
      <c r="B251" s="13" t="s">
        <v>1084</v>
      </c>
      <c r="C251" s="12" t="s">
        <v>1010</v>
      </c>
      <c r="D251" s="12" t="s">
        <v>693</v>
      </c>
      <c r="E251" s="14" t="s">
        <v>694</v>
      </c>
      <c r="F251" s="14" t="s">
        <v>1085</v>
      </c>
      <c r="G251" s="14" t="s">
        <v>57</v>
      </c>
      <c r="H251" s="14" t="s">
        <v>57</v>
      </c>
      <c r="I251" s="14" t="s">
        <v>98</v>
      </c>
      <c r="J251" s="12" t="s">
        <v>99</v>
      </c>
      <c r="K251" s="12" t="s">
        <v>60</v>
      </c>
      <c r="L251" s="18" t="s">
        <v>60</v>
      </c>
      <c r="M251" s="18" t="s">
        <v>60</v>
      </c>
      <c r="N251" s="14"/>
      <c r="O251" s="14" t="s">
        <v>135</v>
      </c>
      <c r="P251" s="12">
        <v>9</v>
      </c>
      <c r="Q251" s="21" t="s">
        <v>136</v>
      </c>
      <c r="R251" s="14" t="s">
        <v>696</v>
      </c>
      <c r="S251" s="12">
        <v>51</v>
      </c>
      <c r="T251" s="14" t="s">
        <v>138</v>
      </c>
      <c r="U251" s="14" t="s">
        <v>1086</v>
      </c>
      <c r="V251" s="17" t="s">
        <v>1087</v>
      </c>
    </row>
    <row r="252" spans="1:22" x14ac:dyDescent="0.3">
      <c r="A252" s="12">
        <v>230</v>
      </c>
      <c r="B252" s="13" t="s">
        <v>1088</v>
      </c>
      <c r="C252" s="12" t="s">
        <v>1010</v>
      </c>
      <c r="D252" s="12" t="s">
        <v>1089</v>
      </c>
      <c r="E252" s="14" t="s">
        <v>1090</v>
      </c>
      <c r="F252" s="14" t="s">
        <v>873</v>
      </c>
      <c r="G252" s="14" t="s">
        <v>268</v>
      </c>
      <c r="H252" s="14" t="s">
        <v>86</v>
      </c>
      <c r="I252" s="14" t="s">
        <v>98</v>
      </c>
      <c r="J252" s="12" t="s">
        <v>414</v>
      </c>
      <c r="K252" s="12" t="s">
        <v>60</v>
      </c>
      <c r="L252" s="15" t="s">
        <v>37</v>
      </c>
      <c r="M252" s="15" t="s">
        <v>37</v>
      </c>
      <c r="N252" s="14"/>
      <c r="O252" s="14" t="s">
        <v>38</v>
      </c>
      <c r="P252" s="12" t="s">
        <v>34</v>
      </c>
      <c r="Q252" s="16" t="s">
        <v>39</v>
      </c>
      <c r="R252" s="14" t="s">
        <v>90</v>
      </c>
      <c r="S252" s="12">
        <v>0</v>
      </c>
      <c r="T252" s="14" t="s">
        <v>41</v>
      </c>
      <c r="U252" s="14" t="s">
        <v>41</v>
      </c>
      <c r="V252" s="17" t="s">
        <v>1091</v>
      </c>
    </row>
    <row r="253" spans="1:22" ht="22.8" x14ac:dyDescent="0.3">
      <c r="A253" s="12">
        <v>231</v>
      </c>
      <c r="B253" s="13" t="s">
        <v>1092</v>
      </c>
      <c r="C253" s="12" t="s">
        <v>1010</v>
      </c>
      <c r="D253" s="12" t="s">
        <v>1093</v>
      </c>
      <c r="E253" s="14" t="s">
        <v>1094</v>
      </c>
      <c r="F253" s="14" t="s">
        <v>1095</v>
      </c>
      <c r="G253" s="14" t="s">
        <v>165</v>
      </c>
      <c r="H253" s="14" t="s">
        <v>377</v>
      </c>
      <c r="I253" s="14" t="s">
        <v>87</v>
      </c>
      <c r="J253" s="12" t="s">
        <v>378</v>
      </c>
      <c r="K253" s="12" t="s">
        <v>60</v>
      </c>
      <c r="L253" s="15" t="s">
        <v>37</v>
      </c>
      <c r="M253" s="15" t="s">
        <v>37</v>
      </c>
      <c r="N253" s="14"/>
      <c r="O253" s="14" t="s">
        <v>153</v>
      </c>
      <c r="P253" s="12">
        <v>6</v>
      </c>
      <c r="Q253" s="21" t="s">
        <v>136</v>
      </c>
      <c r="R253" s="14" t="s">
        <v>40</v>
      </c>
      <c r="S253" s="12">
        <v>22</v>
      </c>
      <c r="T253" s="14" t="s">
        <v>207</v>
      </c>
      <c r="U253" s="14" t="s">
        <v>207</v>
      </c>
      <c r="V253" s="17" t="s">
        <v>1096</v>
      </c>
    </row>
    <row r="254" spans="1:22" ht="34.200000000000003" x14ac:dyDescent="0.3">
      <c r="A254" s="12">
        <v>232</v>
      </c>
      <c r="B254" s="13" t="s">
        <v>1097</v>
      </c>
      <c r="C254" s="12" t="s">
        <v>1010</v>
      </c>
      <c r="D254" s="12" t="s">
        <v>336</v>
      </c>
      <c r="E254" s="14" t="s">
        <v>1098</v>
      </c>
      <c r="F254" s="14" t="s">
        <v>1099</v>
      </c>
      <c r="G254" s="14" t="s">
        <v>57</v>
      </c>
      <c r="H254" s="14" t="s">
        <v>57</v>
      </c>
      <c r="I254" s="14" t="s">
        <v>98</v>
      </c>
      <c r="J254" s="12" t="s">
        <v>1100</v>
      </c>
      <c r="K254" s="12" t="s">
        <v>60</v>
      </c>
      <c r="L254" s="18" t="s">
        <v>60</v>
      </c>
      <c r="M254" s="18" t="s">
        <v>60</v>
      </c>
      <c r="N254" s="14"/>
      <c r="O254" s="14" t="s">
        <v>193</v>
      </c>
      <c r="P254" s="12">
        <v>12</v>
      </c>
      <c r="Q254" s="20" t="s">
        <v>101</v>
      </c>
      <c r="R254" s="14" t="s">
        <v>40</v>
      </c>
      <c r="S254" s="12">
        <v>6</v>
      </c>
      <c r="T254" s="14" t="s">
        <v>138</v>
      </c>
      <c r="U254" s="14" t="s">
        <v>1101</v>
      </c>
      <c r="V254" s="17" t="s">
        <v>1102</v>
      </c>
    </row>
    <row r="255" spans="1:22" ht="34.200000000000003" x14ac:dyDescent="0.3">
      <c r="A255" s="12">
        <v>233</v>
      </c>
      <c r="B255" s="13" t="s">
        <v>1103</v>
      </c>
      <c r="C255" s="12" t="s">
        <v>1010</v>
      </c>
      <c r="D255" s="12" t="s">
        <v>360</v>
      </c>
      <c r="E255" s="14" t="s">
        <v>1104</v>
      </c>
      <c r="F255" s="14" t="s">
        <v>192</v>
      </c>
      <c r="G255" s="14" t="s">
        <v>57</v>
      </c>
      <c r="H255" s="14" t="s">
        <v>86</v>
      </c>
      <c r="I255" s="14" t="s">
        <v>87</v>
      </c>
      <c r="J255" s="12" t="s">
        <v>539</v>
      </c>
      <c r="K255" s="12" t="s">
        <v>60</v>
      </c>
      <c r="L255" s="18" t="s">
        <v>60</v>
      </c>
      <c r="M255" s="18" t="s">
        <v>60</v>
      </c>
      <c r="N255" s="14"/>
      <c r="O255" s="14" t="s">
        <v>61</v>
      </c>
      <c r="P255" s="12">
        <v>3</v>
      </c>
      <c r="Q255" s="19" t="s">
        <v>62</v>
      </c>
      <c r="R255" s="14" t="s">
        <v>1105</v>
      </c>
      <c r="S255" s="12">
        <v>37</v>
      </c>
      <c r="T255" s="14" t="s">
        <v>311</v>
      </c>
      <c r="U255" s="14" t="s">
        <v>722</v>
      </c>
      <c r="V255" s="17" t="s">
        <v>1106</v>
      </c>
    </row>
    <row r="256" spans="1:22" ht="22.8" x14ac:dyDescent="0.3">
      <c r="A256" s="12">
        <v>234</v>
      </c>
      <c r="B256" s="13" t="s">
        <v>1107</v>
      </c>
      <c r="C256" s="12" t="s">
        <v>1010</v>
      </c>
      <c r="D256" s="12" t="s">
        <v>374</v>
      </c>
      <c r="E256" s="14" t="s">
        <v>1108</v>
      </c>
      <c r="F256" s="14" t="s">
        <v>1109</v>
      </c>
      <c r="G256" s="14" t="s">
        <v>363</v>
      </c>
      <c r="H256" s="14" t="s">
        <v>86</v>
      </c>
      <c r="I256" s="14" t="s">
        <v>186</v>
      </c>
      <c r="J256" s="12" t="s">
        <v>187</v>
      </c>
      <c r="K256" s="12" t="s">
        <v>60</v>
      </c>
      <c r="L256" s="15" t="s">
        <v>37</v>
      </c>
      <c r="M256" s="15" t="s">
        <v>37</v>
      </c>
      <c r="N256" s="14"/>
      <c r="O256" s="14" t="s">
        <v>365</v>
      </c>
      <c r="P256" s="12">
        <v>7</v>
      </c>
      <c r="Q256" s="21" t="s">
        <v>136</v>
      </c>
      <c r="R256" s="14" t="s">
        <v>366</v>
      </c>
      <c r="S256" s="12">
        <v>14</v>
      </c>
      <c r="T256" s="14" t="s">
        <v>64</v>
      </c>
      <c r="U256" s="14" t="s">
        <v>64</v>
      </c>
      <c r="V256" s="17" t="s">
        <v>1110</v>
      </c>
    </row>
    <row r="257" spans="1:22" ht="22.8" x14ac:dyDescent="0.3">
      <c r="A257" s="12">
        <v>235</v>
      </c>
      <c r="B257" s="13" t="s">
        <v>1111</v>
      </c>
      <c r="C257" s="12" t="s">
        <v>1010</v>
      </c>
      <c r="D257" s="12" t="s">
        <v>1112</v>
      </c>
      <c r="E257" s="14" t="s">
        <v>1113</v>
      </c>
      <c r="F257" s="14" t="s">
        <v>1114</v>
      </c>
      <c r="G257" s="14" t="s">
        <v>363</v>
      </c>
      <c r="H257" s="14" t="s">
        <v>97</v>
      </c>
      <c r="I257" s="14" t="s">
        <v>98</v>
      </c>
      <c r="J257" s="12" t="s">
        <v>1115</v>
      </c>
      <c r="K257" s="12" t="s">
        <v>60</v>
      </c>
      <c r="L257" s="18" t="s">
        <v>60</v>
      </c>
      <c r="M257" s="18" t="s">
        <v>60</v>
      </c>
      <c r="N257" s="14"/>
      <c r="O257" s="14" t="s">
        <v>38</v>
      </c>
      <c r="P257" s="12" t="s">
        <v>34</v>
      </c>
      <c r="Q257" s="16" t="s">
        <v>39</v>
      </c>
      <c r="R257" s="14" t="s">
        <v>1116</v>
      </c>
      <c r="S257" s="12">
        <v>0</v>
      </c>
      <c r="T257" s="14" t="s">
        <v>311</v>
      </c>
      <c r="U257" s="14" t="s">
        <v>311</v>
      </c>
      <c r="V257" s="17" t="s">
        <v>1117</v>
      </c>
    </row>
    <row r="258" spans="1:22" ht="22.8" x14ac:dyDescent="0.3">
      <c r="A258" s="12">
        <v>236</v>
      </c>
      <c r="B258" s="13" t="s">
        <v>1118</v>
      </c>
      <c r="C258" s="12" t="s">
        <v>1010</v>
      </c>
      <c r="D258" s="12" t="s">
        <v>1119</v>
      </c>
      <c r="E258" s="14" t="s">
        <v>1120</v>
      </c>
      <c r="F258" s="14" t="s">
        <v>1121</v>
      </c>
      <c r="G258" s="14" t="s">
        <v>57</v>
      </c>
      <c r="H258" s="14" t="s">
        <v>268</v>
      </c>
      <c r="I258" s="14" t="s">
        <v>212</v>
      </c>
      <c r="J258" s="12" t="s">
        <v>1122</v>
      </c>
      <c r="K258" s="12" t="s">
        <v>60</v>
      </c>
      <c r="L258" s="15" t="s">
        <v>37</v>
      </c>
      <c r="M258" s="15" t="s">
        <v>37</v>
      </c>
      <c r="N258" s="14"/>
      <c r="O258" s="14" t="s">
        <v>957</v>
      </c>
      <c r="P258" s="12">
        <v>40</v>
      </c>
      <c r="Q258" s="24" t="s">
        <v>443</v>
      </c>
      <c r="R258" s="14" t="s">
        <v>40</v>
      </c>
      <c r="S258" s="12">
        <v>0</v>
      </c>
      <c r="T258" s="14" t="s">
        <v>41</v>
      </c>
      <c r="U258" s="14" t="s">
        <v>41</v>
      </c>
      <c r="V258" s="17" t="s">
        <v>1123</v>
      </c>
    </row>
    <row r="259" spans="1:22" ht="22.8" x14ac:dyDescent="0.3">
      <c r="A259" s="12">
        <v>237</v>
      </c>
      <c r="B259" s="13" t="s">
        <v>1124</v>
      </c>
      <c r="C259" s="12" t="s">
        <v>1010</v>
      </c>
      <c r="D259" s="12" t="s">
        <v>1119</v>
      </c>
      <c r="E259" s="14" t="s">
        <v>1125</v>
      </c>
      <c r="F259" s="14" t="s">
        <v>1126</v>
      </c>
      <c r="G259" s="14" t="s">
        <v>363</v>
      </c>
      <c r="H259" s="14" t="s">
        <v>377</v>
      </c>
      <c r="I259" s="14" t="s">
        <v>212</v>
      </c>
      <c r="J259" s="12" t="s">
        <v>1127</v>
      </c>
      <c r="K259" s="12" t="s">
        <v>60</v>
      </c>
      <c r="L259" s="15" t="s">
        <v>37</v>
      </c>
      <c r="M259" s="15" t="s">
        <v>37</v>
      </c>
      <c r="N259" s="14"/>
      <c r="O259" s="14" t="s">
        <v>135</v>
      </c>
      <c r="P259" s="12">
        <v>9</v>
      </c>
      <c r="Q259" s="21" t="s">
        <v>136</v>
      </c>
      <c r="R259" s="14" t="s">
        <v>40</v>
      </c>
      <c r="S259" s="12">
        <v>51</v>
      </c>
      <c r="T259" s="14" t="s">
        <v>181</v>
      </c>
      <c r="U259" s="14" t="s">
        <v>181</v>
      </c>
      <c r="V259" s="17" t="s">
        <v>1128</v>
      </c>
    </row>
    <row r="260" spans="1:22" x14ac:dyDescent="0.3">
      <c r="A260" s="12">
        <v>238</v>
      </c>
      <c r="B260" s="13" t="s">
        <v>1129</v>
      </c>
      <c r="C260" s="12" t="s">
        <v>1010</v>
      </c>
      <c r="D260" s="12" t="s">
        <v>1119</v>
      </c>
      <c r="E260" s="14" t="s">
        <v>34</v>
      </c>
      <c r="F260" s="14" t="s">
        <v>34</v>
      </c>
      <c r="G260" s="14" t="s">
        <v>35</v>
      </c>
      <c r="H260" s="14" t="s">
        <v>35</v>
      </c>
      <c r="I260" s="14" t="s">
        <v>36</v>
      </c>
      <c r="J260" s="12" t="s">
        <v>34</v>
      </c>
      <c r="K260" s="12" t="s">
        <v>34</v>
      </c>
      <c r="L260" s="15" t="s">
        <v>37</v>
      </c>
      <c r="M260" s="15" t="s">
        <v>37</v>
      </c>
      <c r="N260" s="14"/>
      <c r="O260" s="14" t="s">
        <v>38</v>
      </c>
      <c r="P260" s="12" t="s">
        <v>34</v>
      </c>
      <c r="Q260" s="16" t="s">
        <v>39</v>
      </c>
      <c r="R260" s="14" t="s">
        <v>40</v>
      </c>
      <c r="S260" s="12">
        <v>0</v>
      </c>
      <c r="T260" s="14" t="s">
        <v>41</v>
      </c>
      <c r="U260" s="14" t="s">
        <v>41</v>
      </c>
      <c r="V260" s="17"/>
    </row>
    <row r="261" spans="1:22" ht="34.200000000000003" x14ac:dyDescent="0.3">
      <c r="A261" s="12">
        <v>239</v>
      </c>
      <c r="B261" s="13" t="s">
        <v>1130</v>
      </c>
      <c r="C261" s="12" t="s">
        <v>1010</v>
      </c>
      <c r="D261" s="12" t="s">
        <v>1119</v>
      </c>
      <c r="E261" s="14" t="s">
        <v>1131</v>
      </c>
      <c r="F261" s="14" t="s">
        <v>1132</v>
      </c>
      <c r="G261" s="14" t="s">
        <v>152</v>
      </c>
      <c r="H261" s="14" t="s">
        <v>97</v>
      </c>
      <c r="I261" s="14" t="s">
        <v>212</v>
      </c>
      <c r="J261" s="12" t="s">
        <v>292</v>
      </c>
      <c r="K261" s="12" t="s">
        <v>60</v>
      </c>
      <c r="L261" s="18" t="s">
        <v>60</v>
      </c>
      <c r="M261" s="15" t="s">
        <v>37</v>
      </c>
      <c r="N261" s="14"/>
      <c r="O261" s="14" t="s">
        <v>61</v>
      </c>
      <c r="P261" s="12">
        <v>3</v>
      </c>
      <c r="Q261" s="19" t="s">
        <v>62</v>
      </c>
      <c r="R261" s="14" t="s">
        <v>1133</v>
      </c>
      <c r="S261" s="12">
        <v>37</v>
      </c>
      <c r="T261" s="14" t="s">
        <v>41</v>
      </c>
      <c r="U261" s="14" t="s">
        <v>41</v>
      </c>
      <c r="V261" s="17" t="s">
        <v>1134</v>
      </c>
    </row>
    <row r="262" spans="1:22" ht="22.8" x14ac:dyDescent="0.3">
      <c r="A262" s="12">
        <v>240</v>
      </c>
      <c r="B262" s="13" t="s">
        <v>1135</v>
      </c>
      <c r="C262" s="12" t="s">
        <v>1010</v>
      </c>
      <c r="D262" s="12" t="s">
        <v>124</v>
      </c>
      <c r="E262" s="14" t="s">
        <v>1136</v>
      </c>
      <c r="F262" s="14" t="s">
        <v>1137</v>
      </c>
      <c r="G262" s="14" t="s">
        <v>57</v>
      </c>
      <c r="H262" s="14" t="s">
        <v>86</v>
      </c>
      <c r="I262" s="14" t="s">
        <v>186</v>
      </c>
      <c r="J262" s="12" t="s">
        <v>356</v>
      </c>
      <c r="K262" s="12" t="s">
        <v>37</v>
      </c>
      <c r="L262" s="18" t="s">
        <v>60</v>
      </c>
      <c r="M262" s="15" t="s">
        <v>37</v>
      </c>
      <c r="N262" s="14"/>
      <c r="O262" s="14" t="s">
        <v>135</v>
      </c>
      <c r="P262" s="12">
        <v>9</v>
      </c>
      <c r="Q262" s="21" t="s">
        <v>136</v>
      </c>
      <c r="R262" s="14" t="s">
        <v>40</v>
      </c>
      <c r="S262" s="12">
        <v>51</v>
      </c>
      <c r="T262" s="14" t="s">
        <v>311</v>
      </c>
      <c r="U262" s="14" t="s">
        <v>311</v>
      </c>
      <c r="V262" s="17" t="s">
        <v>1138</v>
      </c>
    </row>
    <row r="263" spans="1:22" x14ac:dyDescent="0.3">
      <c r="A263" s="12">
        <v>241</v>
      </c>
      <c r="B263" s="13" t="s">
        <v>1139</v>
      </c>
      <c r="C263" s="12" t="s">
        <v>1010</v>
      </c>
      <c r="D263" s="12" t="s">
        <v>1140</v>
      </c>
      <c r="E263" s="14" t="s">
        <v>1141</v>
      </c>
      <c r="F263" s="14" t="s">
        <v>1142</v>
      </c>
      <c r="G263" s="14" t="s">
        <v>268</v>
      </c>
      <c r="H263" s="14" t="s">
        <v>268</v>
      </c>
      <c r="I263" s="14" t="s">
        <v>212</v>
      </c>
      <c r="J263" s="12" t="s">
        <v>1127</v>
      </c>
      <c r="K263" s="12" t="s">
        <v>37</v>
      </c>
      <c r="L263" s="15" t="s">
        <v>37</v>
      </c>
      <c r="M263" s="15" t="s">
        <v>37</v>
      </c>
      <c r="N263" s="14"/>
      <c r="O263" s="14" t="s">
        <v>38</v>
      </c>
      <c r="P263" s="12" t="s">
        <v>34</v>
      </c>
      <c r="Q263" s="16" t="s">
        <v>39</v>
      </c>
      <c r="R263" s="14" t="s">
        <v>40</v>
      </c>
      <c r="S263" s="12">
        <v>0</v>
      </c>
      <c r="T263" s="14" t="s">
        <v>41</v>
      </c>
      <c r="U263" s="14" t="s">
        <v>41</v>
      </c>
      <c r="V263" s="17" t="s">
        <v>1143</v>
      </c>
    </row>
    <row r="265" spans="1:22" x14ac:dyDescent="0.3">
      <c r="A265" s="10" t="s">
        <v>1144</v>
      </c>
      <c r="B265" s="11"/>
      <c r="C265" s="11"/>
      <c r="D265" s="11"/>
      <c r="E265" s="11"/>
      <c r="F265" s="11"/>
      <c r="G265" s="11"/>
      <c r="H265" s="11"/>
      <c r="I265" s="11"/>
      <c r="J265" s="11"/>
      <c r="K265" s="11"/>
      <c r="L265" s="11"/>
      <c r="M265" s="11"/>
      <c r="N265" s="11"/>
      <c r="O265" s="11"/>
      <c r="P265" s="11"/>
      <c r="Q265" s="11"/>
      <c r="R265" s="11"/>
      <c r="S265" s="11"/>
      <c r="T265" s="11"/>
      <c r="U265" s="11"/>
      <c r="V265" s="11"/>
    </row>
    <row r="266" spans="1:22" ht="22.8" x14ac:dyDescent="0.3">
      <c r="A266" s="12">
        <v>242</v>
      </c>
      <c r="B266" s="13" t="s">
        <v>1145</v>
      </c>
      <c r="C266" s="12" t="s">
        <v>1146</v>
      </c>
      <c r="D266" s="12" t="s">
        <v>33</v>
      </c>
      <c r="E266" s="14" t="s">
        <v>1147</v>
      </c>
      <c r="F266" s="14" t="s">
        <v>1148</v>
      </c>
      <c r="G266" s="14" t="s">
        <v>85</v>
      </c>
      <c r="H266" s="14" t="s">
        <v>57</v>
      </c>
      <c r="I266" s="14" t="s">
        <v>98</v>
      </c>
      <c r="J266" s="12" t="s">
        <v>1149</v>
      </c>
      <c r="K266" s="12" t="s">
        <v>60</v>
      </c>
      <c r="L266" s="15" t="s">
        <v>37</v>
      </c>
      <c r="M266" s="15" t="s">
        <v>37</v>
      </c>
      <c r="N266" s="14" t="s">
        <v>998</v>
      </c>
      <c r="O266" s="14" t="s">
        <v>1059</v>
      </c>
      <c r="P266" s="12" t="s">
        <v>34</v>
      </c>
      <c r="Q266" s="16" t="s">
        <v>39</v>
      </c>
      <c r="R266" s="14" t="s">
        <v>40</v>
      </c>
      <c r="S266" s="12">
        <v>0</v>
      </c>
      <c r="T266" s="14" t="s">
        <v>91</v>
      </c>
      <c r="U266" s="14" t="s">
        <v>91</v>
      </c>
      <c r="V266" s="17" t="s">
        <v>1150</v>
      </c>
    </row>
    <row r="267" spans="1:22" ht="34.200000000000003" x14ac:dyDescent="0.3">
      <c r="A267" s="12">
        <v>243</v>
      </c>
      <c r="B267" s="13" t="s">
        <v>1151</v>
      </c>
      <c r="C267" s="12" t="s">
        <v>1146</v>
      </c>
      <c r="D267" s="12" t="s">
        <v>33</v>
      </c>
      <c r="E267" s="14" t="s">
        <v>225</v>
      </c>
      <c r="F267" s="14" t="s">
        <v>1152</v>
      </c>
      <c r="G267" s="14" t="s">
        <v>85</v>
      </c>
      <c r="H267" s="14" t="s">
        <v>86</v>
      </c>
      <c r="I267" s="14" t="s">
        <v>87</v>
      </c>
      <c r="J267" s="12" t="s">
        <v>88</v>
      </c>
      <c r="K267" s="12" t="s">
        <v>60</v>
      </c>
      <c r="L267" s="15" t="s">
        <v>37</v>
      </c>
      <c r="M267" s="15" t="s">
        <v>37</v>
      </c>
      <c r="N267" s="14"/>
      <c r="O267" s="14" t="s">
        <v>153</v>
      </c>
      <c r="P267" s="12">
        <v>6</v>
      </c>
      <c r="Q267" s="21" t="s">
        <v>136</v>
      </c>
      <c r="R267" s="14" t="s">
        <v>40</v>
      </c>
      <c r="S267" s="12">
        <v>22</v>
      </c>
      <c r="T267" s="14" t="s">
        <v>138</v>
      </c>
      <c r="U267" s="14" t="s">
        <v>1153</v>
      </c>
      <c r="V267" s="17" t="s">
        <v>1154</v>
      </c>
    </row>
    <row r="268" spans="1:22" ht="22.8" x14ac:dyDescent="0.3">
      <c r="A268" s="12">
        <v>244</v>
      </c>
      <c r="B268" s="13" t="s">
        <v>1155</v>
      </c>
      <c r="C268" s="12" t="s">
        <v>1146</v>
      </c>
      <c r="D268" s="12" t="s">
        <v>33</v>
      </c>
      <c r="E268" s="14" t="s">
        <v>1156</v>
      </c>
      <c r="F268" s="14" t="s">
        <v>1157</v>
      </c>
      <c r="G268" s="14" t="s">
        <v>97</v>
      </c>
      <c r="H268" s="14" t="s">
        <v>268</v>
      </c>
      <c r="I268" s="14" t="s">
        <v>58</v>
      </c>
      <c r="J268" s="12" t="s">
        <v>1158</v>
      </c>
      <c r="K268" s="12" t="s">
        <v>60</v>
      </c>
      <c r="L268" s="18" t="s">
        <v>60</v>
      </c>
      <c r="M268" s="18" t="s">
        <v>60</v>
      </c>
      <c r="N268" s="14"/>
      <c r="O268" s="14" t="s">
        <v>245</v>
      </c>
      <c r="P268" s="12">
        <v>10</v>
      </c>
      <c r="Q268" s="21" t="s">
        <v>136</v>
      </c>
      <c r="R268" s="14" t="s">
        <v>40</v>
      </c>
      <c r="S268" s="12">
        <v>2</v>
      </c>
      <c r="T268" s="14" t="s">
        <v>409</v>
      </c>
      <c r="U268" s="14" t="s">
        <v>409</v>
      </c>
      <c r="V268" s="17" t="s">
        <v>1159</v>
      </c>
    </row>
    <row r="269" spans="1:22" ht="34.200000000000003" x14ac:dyDescent="0.3">
      <c r="A269" s="12">
        <v>245</v>
      </c>
      <c r="B269" s="13" t="s">
        <v>1160</v>
      </c>
      <c r="C269" s="12" t="s">
        <v>1146</v>
      </c>
      <c r="D269" s="12" t="s">
        <v>49</v>
      </c>
      <c r="E269" s="14" t="s">
        <v>1161</v>
      </c>
      <c r="F269" s="14" t="s">
        <v>1162</v>
      </c>
      <c r="G269" s="14" t="s">
        <v>152</v>
      </c>
      <c r="H269" s="14" t="s">
        <v>165</v>
      </c>
      <c r="I269" s="14" t="s">
        <v>87</v>
      </c>
      <c r="J269" s="12" t="s">
        <v>166</v>
      </c>
      <c r="K269" s="12" t="s">
        <v>60</v>
      </c>
      <c r="L269" s="15" t="s">
        <v>37</v>
      </c>
      <c r="M269" s="22" t="s">
        <v>146</v>
      </c>
      <c r="N269" s="14"/>
      <c r="O269" s="14" t="s">
        <v>318</v>
      </c>
      <c r="P269" s="12">
        <v>12</v>
      </c>
      <c r="Q269" s="20" t="s">
        <v>101</v>
      </c>
      <c r="R269" s="14" t="s">
        <v>40</v>
      </c>
      <c r="S269" s="12">
        <v>17</v>
      </c>
      <c r="T269" s="14" t="s">
        <v>91</v>
      </c>
      <c r="U269" s="14" t="s">
        <v>1163</v>
      </c>
      <c r="V269" s="17" t="s">
        <v>1164</v>
      </c>
    </row>
    <row r="270" spans="1:22" ht="45.6" x14ac:dyDescent="0.3">
      <c r="A270" s="12">
        <v>246</v>
      </c>
      <c r="B270" s="13" t="s">
        <v>1165</v>
      </c>
      <c r="C270" s="12" t="s">
        <v>1146</v>
      </c>
      <c r="D270" s="12" t="s">
        <v>49</v>
      </c>
      <c r="E270" s="14" t="s">
        <v>741</v>
      </c>
      <c r="F270" s="14" t="s">
        <v>742</v>
      </c>
      <c r="G270" s="14" t="s">
        <v>57</v>
      </c>
      <c r="H270" s="14" t="s">
        <v>377</v>
      </c>
      <c r="I270" s="14" t="s">
        <v>58</v>
      </c>
      <c r="J270" s="12" t="s">
        <v>743</v>
      </c>
      <c r="K270" s="12" t="s">
        <v>60</v>
      </c>
      <c r="L270" s="15" t="s">
        <v>37</v>
      </c>
      <c r="M270" s="15" t="s">
        <v>37</v>
      </c>
      <c r="N270" s="14"/>
      <c r="O270" s="14" t="s">
        <v>153</v>
      </c>
      <c r="P270" s="12">
        <v>6</v>
      </c>
      <c r="Q270" s="21" t="s">
        <v>136</v>
      </c>
      <c r="R270" s="14" t="s">
        <v>227</v>
      </c>
      <c r="S270" s="12">
        <v>22</v>
      </c>
      <c r="T270" s="14" t="s">
        <v>138</v>
      </c>
      <c r="U270" s="14" t="s">
        <v>744</v>
      </c>
      <c r="V270" s="17" t="s">
        <v>745</v>
      </c>
    </row>
    <row r="271" spans="1:22" x14ac:dyDescent="0.3">
      <c r="A271" s="12">
        <v>247</v>
      </c>
      <c r="B271" s="13" t="s">
        <v>1166</v>
      </c>
      <c r="C271" s="12" t="s">
        <v>1146</v>
      </c>
      <c r="D271" s="12" t="s">
        <v>70</v>
      </c>
      <c r="E271" s="14" t="s">
        <v>1167</v>
      </c>
      <c r="F271" s="14" t="s">
        <v>873</v>
      </c>
      <c r="G271" s="14" t="s">
        <v>57</v>
      </c>
      <c r="H271" s="14" t="s">
        <v>86</v>
      </c>
      <c r="I271" s="14" t="s">
        <v>87</v>
      </c>
      <c r="J271" s="12" t="s">
        <v>539</v>
      </c>
      <c r="K271" s="12" t="s">
        <v>60</v>
      </c>
      <c r="L271" s="15" t="s">
        <v>37</v>
      </c>
      <c r="M271" s="15" t="s">
        <v>37</v>
      </c>
      <c r="N271" s="14"/>
      <c r="O271" s="14" t="s">
        <v>199</v>
      </c>
      <c r="P271" s="12">
        <v>6</v>
      </c>
      <c r="Q271" s="21" t="s">
        <v>136</v>
      </c>
      <c r="R271" s="14" t="s">
        <v>1168</v>
      </c>
      <c r="S271" s="12">
        <v>14</v>
      </c>
      <c r="T271" s="14" t="s">
        <v>261</v>
      </c>
      <c r="U271" s="14" t="s">
        <v>261</v>
      </c>
      <c r="V271" s="17" t="s">
        <v>1169</v>
      </c>
    </row>
    <row r="272" spans="1:22" ht="22.8" x14ac:dyDescent="0.3">
      <c r="A272" s="12">
        <v>248</v>
      </c>
      <c r="B272" s="13" t="s">
        <v>1170</v>
      </c>
      <c r="C272" s="12" t="s">
        <v>1146</v>
      </c>
      <c r="D272" s="12" t="s">
        <v>224</v>
      </c>
      <c r="E272" s="14" t="s">
        <v>1171</v>
      </c>
      <c r="F272" s="14" t="s">
        <v>1172</v>
      </c>
      <c r="G272" s="14" t="s">
        <v>363</v>
      </c>
      <c r="H272" s="14" t="s">
        <v>97</v>
      </c>
      <c r="I272" s="14" t="s">
        <v>87</v>
      </c>
      <c r="J272" s="12" t="s">
        <v>279</v>
      </c>
      <c r="K272" s="12" t="s">
        <v>60</v>
      </c>
      <c r="L272" s="15" t="s">
        <v>37</v>
      </c>
      <c r="M272" s="15" t="s">
        <v>37</v>
      </c>
      <c r="N272" s="14"/>
      <c r="O272" s="14" t="s">
        <v>153</v>
      </c>
      <c r="P272" s="12">
        <v>6</v>
      </c>
      <c r="Q272" s="21" t="s">
        <v>136</v>
      </c>
      <c r="R272" s="14" t="s">
        <v>40</v>
      </c>
      <c r="S272" s="12">
        <v>22</v>
      </c>
      <c r="T272" s="14" t="s">
        <v>91</v>
      </c>
      <c r="U272" s="14" t="s">
        <v>709</v>
      </c>
      <c r="V272" s="17" t="s">
        <v>1173</v>
      </c>
    </row>
    <row r="273" spans="1:22" ht="22.8" x14ac:dyDescent="0.3">
      <c r="A273" s="12">
        <v>249</v>
      </c>
      <c r="B273" s="13" t="s">
        <v>1174</v>
      </c>
      <c r="C273" s="12" t="s">
        <v>1146</v>
      </c>
      <c r="D273" s="12" t="s">
        <v>75</v>
      </c>
      <c r="E273" s="14" t="s">
        <v>1175</v>
      </c>
      <c r="F273" s="14" t="s">
        <v>1176</v>
      </c>
      <c r="G273" s="14" t="s">
        <v>664</v>
      </c>
      <c r="H273" s="14" t="s">
        <v>57</v>
      </c>
      <c r="I273" s="14" t="s">
        <v>87</v>
      </c>
      <c r="J273" s="12" t="s">
        <v>574</v>
      </c>
      <c r="K273" s="12" t="s">
        <v>60</v>
      </c>
      <c r="L273" s="22" t="s">
        <v>146</v>
      </c>
      <c r="M273" s="18" t="s">
        <v>60</v>
      </c>
      <c r="N273" s="14"/>
      <c r="O273" s="14" t="s">
        <v>89</v>
      </c>
      <c r="P273" s="12">
        <v>1</v>
      </c>
      <c r="Q273" s="19" t="s">
        <v>62</v>
      </c>
      <c r="R273" s="14" t="s">
        <v>40</v>
      </c>
      <c r="S273" s="12">
        <v>13</v>
      </c>
      <c r="T273" s="14" t="s">
        <v>174</v>
      </c>
      <c r="U273" s="14" t="s">
        <v>174</v>
      </c>
      <c r="V273" s="17" t="s">
        <v>1177</v>
      </c>
    </row>
    <row r="274" spans="1:22" ht="57" x14ac:dyDescent="0.3">
      <c r="A274" s="12">
        <v>250</v>
      </c>
      <c r="B274" s="13" t="s">
        <v>1178</v>
      </c>
      <c r="C274" s="12" t="s">
        <v>1146</v>
      </c>
      <c r="D274" s="12" t="s">
        <v>77</v>
      </c>
      <c r="E274" s="14" t="s">
        <v>1179</v>
      </c>
      <c r="F274" s="14" t="s">
        <v>1180</v>
      </c>
      <c r="G274" s="14" t="s">
        <v>57</v>
      </c>
      <c r="H274" s="14" t="s">
        <v>57</v>
      </c>
      <c r="I274" s="14" t="s">
        <v>98</v>
      </c>
      <c r="J274" s="12" t="s">
        <v>681</v>
      </c>
      <c r="K274" s="12" t="s">
        <v>60</v>
      </c>
      <c r="L274" s="18" t="s">
        <v>60</v>
      </c>
      <c r="M274" s="18" t="s">
        <v>60</v>
      </c>
      <c r="N274" s="14"/>
      <c r="O274" s="14" t="s">
        <v>135</v>
      </c>
      <c r="P274" s="12">
        <v>9</v>
      </c>
      <c r="Q274" s="21" t="s">
        <v>136</v>
      </c>
      <c r="R274" s="14" t="s">
        <v>1181</v>
      </c>
      <c r="S274" s="12">
        <v>51</v>
      </c>
      <c r="T274" s="14" t="s">
        <v>91</v>
      </c>
      <c r="U274" s="14" t="s">
        <v>1182</v>
      </c>
      <c r="V274" s="17" t="s">
        <v>1183</v>
      </c>
    </row>
    <row r="275" spans="1:22" x14ac:dyDescent="0.3">
      <c r="A275" s="12">
        <v>251</v>
      </c>
      <c r="B275" s="13" t="s">
        <v>1184</v>
      </c>
      <c r="C275" s="12" t="s">
        <v>1146</v>
      </c>
      <c r="D275" s="12" t="s">
        <v>77</v>
      </c>
      <c r="E275" s="14" t="s">
        <v>34</v>
      </c>
      <c r="F275" s="14" t="s">
        <v>34</v>
      </c>
      <c r="G275" s="14" t="s">
        <v>35</v>
      </c>
      <c r="H275" s="14" t="s">
        <v>35</v>
      </c>
      <c r="I275" s="14" t="s">
        <v>36</v>
      </c>
      <c r="J275" s="12" t="s">
        <v>34</v>
      </c>
      <c r="K275" s="12" t="s">
        <v>34</v>
      </c>
      <c r="L275" s="15" t="s">
        <v>37</v>
      </c>
      <c r="M275" s="15" t="s">
        <v>37</v>
      </c>
      <c r="N275" s="14"/>
      <c r="O275" s="14" t="s">
        <v>38</v>
      </c>
      <c r="P275" s="12" t="s">
        <v>34</v>
      </c>
      <c r="Q275" s="16" t="s">
        <v>39</v>
      </c>
      <c r="R275" s="14" t="s">
        <v>40</v>
      </c>
      <c r="S275" s="12">
        <v>0</v>
      </c>
      <c r="T275" s="14" t="s">
        <v>41</v>
      </c>
      <c r="U275" s="14" t="s">
        <v>41</v>
      </c>
      <c r="V275" s="17"/>
    </row>
    <row r="276" spans="1:22" ht="57" x14ac:dyDescent="0.3">
      <c r="A276" s="12">
        <v>252</v>
      </c>
      <c r="B276" s="13" t="s">
        <v>1185</v>
      </c>
      <c r="C276" s="12" t="s">
        <v>1146</v>
      </c>
      <c r="D276" s="12" t="s">
        <v>1186</v>
      </c>
      <c r="E276" s="14" t="s">
        <v>1179</v>
      </c>
      <c r="F276" s="14" t="s">
        <v>1180</v>
      </c>
      <c r="G276" s="14" t="s">
        <v>57</v>
      </c>
      <c r="H276" s="14" t="s">
        <v>57</v>
      </c>
      <c r="I276" s="14" t="s">
        <v>98</v>
      </c>
      <c r="J276" s="12" t="s">
        <v>681</v>
      </c>
      <c r="K276" s="12" t="s">
        <v>60</v>
      </c>
      <c r="L276" s="18" t="s">
        <v>60</v>
      </c>
      <c r="M276" s="18" t="s">
        <v>60</v>
      </c>
      <c r="N276" s="14"/>
      <c r="O276" s="14" t="s">
        <v>135</v>
      </c>
      <c r="P276" s="12">
        <v>9</v>
      </c>
      <c r="Q276" s="21" t="s">
        <v>136</v>
      </c>
      <c r="R276" s="14" t="s">
        <v>1181</v>
      </c>
      <c r="S276" s="12">
        <v>51</v>
      </c>
      <c r="T276" s="14" t="s">
        <v>91</v>
      </c>
      <c r="U276" s="14" t="s">
        <v>1182</v>
      </c>
      <c r="V276" s="17" t="s">
        <v>1183</v>
      </c>
    </row>
    <row r="277" spans="1:22" ht="34.200000000000003" x14ac:dyDescent="0.3">
      <c r="A277" s="12">
        <v>253</v>
      </c>
      <c r="B277" s="13" t="s">
        <v>1187</v>
      </c>
      <c r="C277" s="12" t="s">
        <v>1146</v>
      </c>
      <c r="D277" s="12" t="s">
        <v>109</v>
      </c>
      <c r="E277" s="14" t="s">
        <v>1188</v>
      </c>
      <c r="F277" s="14" t="s">
        <v>1189</v>
      </c>
      <c r="G277" s="14" t="s">
        <v>57</v>
      </c>
      <c r="H277" s="14" t="s">
        <v>57</v>
      </c>
      <c r="I277" s="14" t="s">
        <v>58</v>
      </c>
      <c r="J277" s="12" t="s">
        <v>1190</v>
      </c>
      <c r="K277" s="12" t="s">
        <v>60</v>
      </c>
      <c r="L277" s="18" t="s">
        <v>60</v>
      </c>
      <c r="M277" s="18" t="s">
        <v>60</v>
      </c>
      <c r="N277" s="14"/>
      <c r="O277" s="14" t="s">
        <v>61</v>
      </c>
      <c r="P277" s="12">
        <v>3</v>
      </c>
      <c r="Q277" s="19" t="s">
        <v>62</v>
      </c>
      <c r="R277" s="14" t="s">
        <v>40</v>
      </c>
      <c r="S277" s="12">
        <v>37</v>
      </c>
      <c r="T277" s="14" t="s">
        <v>311</v>
      </c>
      <c r="U277" s="14" t="s">
        <v>415</v>
      </c>
      <c r="V277" s="17" t="s">
        <v>1191</v>
      </c>
    </row>
    <row r="278" spans="1:22" ht="34.200000000000003" x14ac:dyDescent="0.3">
      <c r="A278" s="12">
        <v>254</v>
      </c>
      <c r="B278" s="13" t="s">
        <v>1192</v>
      </c>
      <c r="C278" s="12" t="s">
        <v>1146</v>
      </c>
      <c r="D278" s="12" t="s">
        <v>307</v>
      </c>
      <c r="E278" s="14" t="s">
        <v>1193</v>
      </c>
      <c r="F278" s="14" t="s">
        <v>1194</v>
      </c>
      <c r="G278" s="14" t="s">
        <v>165</v>
      </c>
      <c r="H278" s="14" t="s">
        <v>57</v>
      </c>
      <c r="I278" s="14" t="s">
        <v>98</v>
      </c>
      <c r="J278" s="12" t="s">
        <v>310</v>
      </c>
      <c r="K278" s="12" t="s">
        <v>60</v>
      </c>
      <c r="L278" s="15" t="s">
        <v>37</v>
      </c>
      <c r="M278" s="15" t="s">
        <v>37</v>
      </c>
      <c r="N278" s="14"/>
      <c r="O278" s="14" t="s">
        <v>61</v>
      </c>
      <c r="P278" s="12">
        <v>3</v>
      </c>
      <c r="Q278" s="19" t="s">
        <v>62</v>
      </c>
      <c r="R278" s="14" t="s">
        <v>40</v>
      </c>
      <c r="S278" s="12">
        <v>37</v>
      </c>
      <c r="T278" s="14" t="s">
        <v>311</v>
      </c>
      <c r="U278" s="14" t="s">
        <v>312</v>
      </c>
      <c r="V278" s="17" t="s">
        <v>1195</v>
      </c>
    </row>
    <row r="279" spans="1:22" ht="34.200000000000003" x14ac:dyDescent="0.3">
      <c r="A279" s="12">
        <v>255</v>
      </c>
      <c r="B279" s="13" t="s">
        <v>1196</v>
      </c>
      <c r="C279" s="12" t="s">
        <v>1146</v>
      </c>
      <c r="D279" s="12" t="s">
        <v>307</v>
      </c>
      <c r="E279" s="14" t="s">
        <v>1197</v>
      </c>
      <c r="F279" s="14" t="s">
        <v>492</v>
      </c>
      <c r="G279" s="14" t="s">
        <v>363</v>
      </c>
      <c r="H279" s="14" t="s">
        <v>86</v>
      </c>
      <c r="I279" s="14" t="s">
        <v>186</v>
      </c>
      <c r="J279" s="12" t="s">
        <v>187</v>
      </c>
      <c r="K279" s="12" t="s">
        <v>60</v>
      </c>
      <c r="L279" s="15" t="s">
        <v>37</v>
      </c>
      <c r="M279" s="15" t="s">
        <v>37</v>
      </c>
      <c r="N279" s="14"/>
      <c r="O279" s="14" t="s">
        <v>583</v>
      </c>
      <c r="P279" s="12">
        <v>5</v>
      </c>
      <c r="Q279" s="19" t="s">
        <v>62</v>
      </c>
      <c r="R279" s="14" t="s">
        <v>1198</v>
      </c>
      <c r="S279" s="12">
        <v>15</v>
      </c>
      <c r="T279" s="14" t="s">
        <v>138</v>
      </c>
      <c r="U279" s="14" t="s">
        <v>523</v>
      </c>
      <c r="V279" s="17" t="s">
        <v>1199</v>
      </c>
    </row>
    <row r="280" spans="1:22" ht="34.200000000000003" x14ac:dyDescent="0.3">
      <c r="A280" s="12">
        <v>256</v>
      </c>
      <c r="B280" s="13" t="s">
        <v>1200</v>
      </c>
      <c r="C280" s="12" t="s">
        <v>1146</v>
      </c>
      <c r="D280" s="12" t="s">
        <v>336</v>
      </c>
      <c r="E280" s="14" t="s">
        <v>1201</v>
      </c>
      <c r="F280" s="14" t="s">
        <v>1202</v>
      </c>
      <c r="G280" s="14" t="s">
        <v>57</v>
      </c>
      <c r="H280" s="14" t="s">
        <v>86</v>
      </c>
      <c r="I280" s="14" t="s">
        <v>186</v>
      </c>
      <c r="J280" s="12" t="s">
        <v>187</v>
      </c>
      <c r="K280" s="12" t="s">
        <v>60</v>
      </c>
      <c r="L280" s="15" t="s">
        <v>37</v>
      </c>
      <c r="M280" s="15" t="s">
        <v>37</v>
      </c>
      <c r="N280" s="14"/>
      <c r="O280" s="14" t="s">
        <v>153</v>
      </c>
      <c r="P280" s="12">
        <v>6</v>
      </c>
      <c r="Q280" s="21" t="s">
        <v>136</v>
      </c>
      <c r="R280" s="14" t="s">
        <v>40</v>
      </c>
      <c r="S280" s="12">
        <v>22</v>
      </c>
      <c r="T280" s="14" t="s">
        <v>138</v>
      </c>
      <c r="U280" s="14" t="s">
        <v>1203</v>
      </c>
      <c r="V280" s="17" t="s">
        <v>1204</v>
      </c>
    </row>
    <row r="281" spans="1:22" x14ac:dyDescent="0.3">
      <c r="A281" s="12">
        <v>257</v>
      </c>
      <c r="B281" s="13" t="s">
        <v>1205</v>
      </c>
      <c r="C281" s="12" t="s">
        <v>1146</v>
      </c>
      <c r="D281" s="12" t="s">
        <v>876</v>
      </c>
      <c r="E281" s="14" t="s">
        <v>974</v>
      </c>
      <c r="F281" s="14" t="s">
        <v>975</v>
      </c>
      <c r="G281" s="14" t="s">
        <v>165</v>
      </c>
      <c r="H281" s="14" t="s">
        <v>165</v>
      </c>
      <c r="I281" s="14" t="s">
        <v>98</v>
      </c>
      <c r="J281" s="12" t="s">
        <v>240</v>
      </c>
      <c r="K281" s="12" t="s">
        <v>60</v>
      </c>
      <c r="L281" s="15" t="s">
        <v>37</v>
      </c>
      <c r="M281" s="15" t="s">
        <v>37</v>
      </c>
      <c r="N281" s="14"/>
      <c r="O281" s="14" t="s">
        <v>486</v>
      </c>
      <c r="P281" s="12">
        <v>5</v>
      </c>
      <c r="Q281" s="19" t="s">
        <v>62</v>
      </c>
      <c r="R281" s="14" t="s">
        <v>976</v>
      </c>
      <c r="S281" s="12">
        <v>31</v>
      </c>
      <c r="T281" s="14" t="s">
        <v>91</v>
      </c>
      <c r="U281" s="14" t="s">
        <v>1206</v>
      </c>
      <c r="V281" s="17" t="s">
        <v>1207</v>
      </c>
    </row>
    <row r="282" spans="1:22" ht="22.8" x14ac:dyDescent="0.3">
      <c r="A282" s="12">
        <v>258</v>
      </c>
      <c r="B282" s="13" t="s">
        <v>1208</v>
      </c>
      <c r="C282" s="12" t="s">
        <v>1146</v>
      </c>
      <c r="D282" s="12" t="s">
        <v>1112</v>
      </c>
      <c r="E282" s="14" t="s">
        <v>1209</v>
      </c>
      <c r="F282" s="14" t="s">
        <v>1210</v>
      </c>
      <c r="G282" s="14" t="s">
        <v>57</v>
      </c>
      <c r="H282" s="14" t="s">
        <v>57</v>
      </c>
      <c r="I282" s="14" t="s">
        <v>87</v>
      </c>
      <c r="J282" s="12" t="s">
        <v>206</v>
      </c>
      <c r="K282" s="12" t="s">
        <v>60</v>
      </c>
      <c r="L282" s="15" t="s">
        <v>37</v>
      </c>
      <c r="M282" s="15" t="s">
        <v>37</v>
      </c>
      <c r="N282" s="14"/>
      <c r="O282" s="14" t="s">
        <v>318</v>
      </c>
      <c r="P282" s="12">
        <v>12</v>
      </c>
      <c r="Q282" s="20" t="s">
        <v>101</v>
      </c>
      <c r="R282" s="14" t="s">
        <v>40</v>
      </c>
      <c r="S282" s="12">
        <v>17</v>
      </c>
      <c r="T282" s="14" t="s">
        <v>174</v>
      </c>
      <c r="U282" s="14" t="s">
        <v>174</v>
      </c>
      <c r="V282" s="17" t="s">
        <v>1211</v>
      </c>
    </row>
    <row r="283" spans="1:22" ht="34.200000000000003" x14ac:dyDescent="0.3">
      <c r="A283" s="12">
        <v>259</v>
      </c>
      <c r="B283" s="13" t="s">
        <v>1212</v>
      </c>
      <c r="C283" s="12" t="s">
        <v>1146</v>
      </c>
      <c r="D283" s="12" t="s">
        <v>122</v>
      </c>
      <c r="E283" s="14" t="s">
        <v>1213</v>
      </c>
      <c r="F283" s="14" t="s">
        <v>1214</v>
      </c>
      <c r="G283" s="14" t="s">
        <v>57</v>
      </c>
      <c r="H283" s="14" t="s">
        <v>278</v>
      </c>
      <c r="I283" s="14" t="s">
        <v>87</v>
      </c>
      <c r="J283" s="12" t="s">
        <v>234</v>
      </c>
      <c r="K283" s="12" t="s">
        <v>60</v>
      </c>
      <c r="L283" s="22" t="s">
        <v>146</v>
      </c>
      <c r="M283" s="18" t="s">
        <v>60</v>
      </c>
      <c r="N283" s="14"/>
      <c r="O283" s="14" t="s">
        <v>89</v>
      </c>
      <c r="P283" s="12">
        <v>1</v>
      </c>
      <c r="Q283" s="19" t="s">
        <v>62</v>
      </c>
      <c r="R283" s="14" t="s">
        <v>40</v>
      </c>
      <c r="S283" s="12">
        <v>13</v>
      </c>
      <c r="T283" s="14" t="s">
        <v>138</v>
      </c>
      <c r="U283" s="14" t="s">
        <v>645</v>
      </c>
      <c r="V283" s="17" t="s">
        <v>1215</v>
      </c>
    </row>
    <row r="284" spans="1:22" ht="22.8" x14ac:dyDescent="0.3">
      <c r="A284" s="12">
        <v>260</v>
      </c>
      <c r="B284" s="13" t="s">
        <v>1216</v>
      </c>
      <c r="C284" s="12" t="s">
        <v>1146</v>
      </c>
      <c r="D284" s="12" t="s">
        <v>128</v>
      </c>
      <c r="E284" s="14" t="s">
        <v>1217</v>
      </c>
      <c r="F284" s="14" t="s">
        <v>211</v>
      </c>
      <c r="G284" s="14" t="s">
        <v>57</v>
      </c>
      <c r="H284" s="14" t="s">
        <v>86</v>
      </c>
      <c r="I284" s="14" t="s">
        <v>98</v>
      </c>
      <c r="J284" s="12" t="s">
        <v>383</v>
      </c>
      <c r="K284" s="12" t="s">
        <v>60</v>
      </c>
      <c r="L284" s="22" t="s">
        <v>146</v>
      </c>
      <c r="M284" s="18" t="s">
        <v>60</v>
      </c>
      <c r="N284" s="14"/>
      <c r="O284" s="14" t="s">
        <v>486</v>
      </c>
      <c r="P284" s="12">
        <v>5</v>
      </c>
      <c r="Q284" s="19" t="s">
        <v>62</v>
      </c>
      <c r="R284" s="14" t="s">
        <v>533</v>
      </c>
      <c r="S284" s="12">
        <v>31</v>
      </c>
      <c r="T284" s="14" t="s">
        <v>167</v>
      </c>
      <c r="U284" s="14" t="s">
        <v>167</v>
      </c>
      <c r="V284" s="17" t="s">
        <v>1218</v>
      </c>
    </row>
    <row r="286" spans="1:22" x14ac:dyDescent="0.3">
      <c r="A286" s="10" t="s">
        <v>1219</v>
      </c>
      <c r="B286" s="11"/>
      <c r="C286" s="11"/>
      <c r="D286" s="11"/>
      <c r="E286" s="11"/>
      <c r="F286" s="11"/>
      <c r="G286" s="11"/>
      <c r="H286" s="11"/>
      <c r="I286" s="11"/>
      <c r="J286" s="11"/>
      <c r="K286" s="11"/>
      <c r="L286" s="11"/>
      <c r="M286" s="11"/>
      <c r="N286" s="11"/>
      <c r="O286" s="11"/>
      <c r="P286" s="11"/>
      <c r="Q286" s="11"/>
      <c r="R286" s="11"/>
      <c r="S286" s="11"/>
      <c r="T286" s="11"/>
      <c r="U286" s="11"/>
      <c r="V286" s="11"/>
    </row>
    <row r="287" spans="1:22" ht="22.8" x14ac:dyDescent="0.3">
      <c r="A287" s="12">
        <v>261</v>
      </c>
      <c r="B287" s="13" t="s">
        <v>1220</v>
      </c>
      <c r="C287" s="12" t="s">
        <v>1221</v>
      </c>
      <c r="D287" s="12" t="s">
        <v>70</v>
      </c>
      <c r="E287" s="14" t="s">
        <v>1222</v>
      </c>
      <c r="F287" s="14" t="s">
        <v>1223</v>
      </c>
      <c r="G287" s="14" t="s">
        <v>57</v>
      </c>
      <c r="H287" s="14" t="s">
        <v>57</v>
      </c>
      <c r="I287" s="14" t="s">
        <v>58</v>
      </c>
      <c r="J287" s="12" t="s">
        <v>760</v>
      </c>
      <c r="K287" s="12" t="s">
        <v>60</v>
      </c>
      <c r="L287" s="15" t="s">
        <v>37</v>
      </c>
      <c r="M287" s="15" t="s">
        <v>37</v>
      </c>
      <c r="N287" s="14"/>
      <c r="O287" s="14" t="s">
        <v>486</v>
      </c>
      <c r="P287" s="12">
        <v>5</v>
      </c>
      <c r="Q287" s="19" t="s">
        <v>62</v>
      </c>
      <c r="R287" s="14" t="s">
        <v>40</v>
      </c>
      <c r="S287" s="12">
        <v>31</v>
      </c>
      <c r="T287" s="14" t="s">
        <v>138</v>
      </c>
      <c r="U287" s="14" t="s">
        <v>138</v>
      </c>
      <c r="V287" s="17" t="s">
        <v>1224</v>
      </c>
    </row>
    <row r="288" spans="1:22" ht="34.200000000000003" x14ac:dyDescent="0.3">
      <c r="A288" s="12">
        <v>262</v>
      </c>
      <c r="B288" s="13" t="s">
        <v>1225</v>
      </c>
      <c r="C288" s="12" t="s">
        <v>1221</v>
      </c>
      <c r="D288" s="12" t="s">
        <v>70</v>
      </c>
      <c r="E288" s="14" t="s">
        <v>1226</v>
      </c>
      <c r="F288" s="14" t="s">
        <v>1227</v>
      </c>
      <c r="G288" s="14" t="s">
        <v>165</v>
      </c>
      <c r="H288" s="14" t="s">
        <v>86</v>
      </c>
      <c r="I288" s="14" t="s">
        <v>87</v>
      </c>
      <c r="J288" s="12" t="s">
        <v>883</v>
      </c>
      <c r="K288" s="12" t="s">
        <v>60</v>
      </c>
      <c r="L288" s="15" t="s">
        <v>37</v>
      </c>
      <c r="M288" s="15" t="s">
        <v>37</v>
      </c>
      <c r="N288" s="14"/>
      <c r="O288" s="14" t="s">
        <v>1228</v>
      </c>
      <c r="P288" s="12">
        <v>5</v>
      </c>
      <c r="Q288" s="19" t="s">
        <v>62</v>
      </c>
      <c r="R288" s="14" t="s">
        <v>1229</v>
      </c>
      <c r="S288" s="12">
        <v>0</v>
      </c>
      <c r="T288" s="14" t="s">
        <v>91</v>
      </c>
      <c r="U288" s="14" t="s">
        <v>194</v>
      </c>
      <c r="V288" s="17" t="s">
        <v>1230</v>
      </c>
    </row>
    <row r="289" spans="1:22" ht="34.200000000000003" x14ac:dyDescent="0.3">
      <c r="A289" s="12">
        <v>263</v>
      </c>
      <c r="B289" s="13" t="s">
        <v>1231</v>
      </c>
      <c r="C289" s="12" t="s">
        <v>1221</v>
      </c>
      <c r="D289" s="12" t="s">
        <v>224</v>
      </c>
      <c r="E289" s="14" t="s">
        <v>1232</v>
      </c>
      <c r="F289" s="14" t="s">
        <v>413</v>
      </c>
      <c r="G289" s="14" t="s">
        <v>57</v>
      </c>
      <c r="H289" s="14" t="s">
        <v>86</v>
      </c>
      <c r="I289" s="14" t="s">
        <v>87</v>
      </c>
      <c r="J289" s="12" t="s">
        <v>539</v>
      </c>
      <c r="K289" s="12" t="s">
        <v>60</v>
      </c>
      <c r="L289" s="22" t="s">
        <v>146</v>
      </c>
      <c r="M289" s="15" t="s">
        <v>37</v>
      </c>
      <c r="N289" s="14"/>
      <c r="O289" s="14" t="s">
        <v>259</v>
      </c>
      <c r="P289" s="12">
        <v>4</v>
      </c>
      <c r="Q289" s="19" t="s">
        <v>62</v>
      </c>
      <c r="R289" s="14" t="s">
        <v>1233</v>
      </c>
      <c r="S289" s="12">
        <v>10</v>
      </c>
      <c r="T289" s="14" t="s">
        <v>138</v>
      </c>
      <c r="U289" s="14" t="s">
        <v>1234</v>
      </c>
      <c r="V289" s="17" t="s">
        <v>1235</v>
      </c>
    </row>
    <row r="290" spans="1:22" ht="22.8" x14ac:dyDescent="0.3">
      <c r="A290" s="12">
        <v>264</v>
      </c>
      <c r="B290" s="13" t="s">
        <v>1236</v>
      </c>
      <c r="C290" s="12" t="s">
        <v>1221</v>
      </c>
      <c r="D290" s="12" t="s">
        <v>75</v>
      </c>
      <c r="E290" s="14" t="s">
        <v>1237</v>
      </c>
      <c r="F290" s="14" t="s">
        <v>1238</v>
      </c>
      <c r="G290" s="14" t="s">
        <v>57</v>
      </c>
      <c r="H290" s="14" t="s">
        <v>86</v>
      </c>
      <c r="I290" s="14" t="s">
        <v>87</v>
      </c>
      <c r="J290" s="12" t="s">
        <v>539</v>
      </c>
      <c r="K290" s="12" t="s">
        <v>60</v>
      </c>
      <c r="L290" s="15" t="s">
        <v>37</v>
      </c>
      <c r="M290" s="15" t="s">
        <v>37</v>
      </c>
      <c r="N290" s="14"/>
      <c r="O290" s="14" t="s">
        <v>556</v>
      </c>
      <c r="P290" s="12">
        <v>9</v>
      </c>
      <c r="Q290" s="21" t="s">
        <v>136</v>
      </c>
      <c r="R290" s="14" t="s">
        <v>40</v>
      </c>
      <c r="S290" s="12">
        <v>10</v>
      </c>
      <c r="T290" s="14" t="s">
        <v>64</v>
      </c>
      <c r="U290" s="14" t="s">
        <v>64</v>
      </c>
      <c r="V290" s="17" t="s">
        <v>1239</v>
      </c>
    </row>
    <row r="291" spans="1:22" ht="22.8" x14ac:dyDescent="0.3">
      <c r="A291" s="12">
        <v>265</v>
      </c>
      <c r="B291" s="13" t="s">
        <v>1240</v>
      </c>
      <c r="C291" s="12" t="s">
        <v>1221</v>
      </c>
      <c r="D291" s="12" t="s">
        <v>1066</v>
      </c>
      <c r="E291" s="14" t="s">
        <v>1241</v>
      </c>
      <c r="F291" s="14" t="s">
        <v>1242</v>
      </c>
      <c r="G291" s="14" t="s">
        <v>57</v>
      </c>
      <c r="H291" s="14" t="s">
        <v>268</v>
      </c>
      <c r="I291" s="14" t="s">
        <v>58</v>
      </c>
      <c r="J291" s="12" t="s">
        <v>1243</v>
      </c>
      <c r="K291" s="12" t="s">
        <v>60</v>
      </c>
      <c r="L291" s="18" t="s">
        <v>60</v>
      </c>
      <c r="M291" s="18" t="s">
        <v>60</v>
      </c>
      <c r="N291" s="14"/>
      <c r="O291" s="14" t="s">
        <v>1244</v>
      </c>
      <c r="P291" s="12">
        <v>7</v>
      </c>
      <c r="Q291" s="21" t="s">
        <v>136</v>
      </c>
      <c r="R291" s="14" t="s">
        <v>1245</v>
      </c>
      <c r="S291" s="12">
        <v>7</v>
      </c>
      <c r="T291" s="14" t="s">
        <v>138</v>
      </c>
      <c r="U291" s="14" t="s">
        <v>138</v>
      </c>
      <c r="V291" s="17" t="s">
        <v>1246</v>
      </c>
    </row>
    <row r="292" spans="1:22" ht="34.200000000000003" x14ac:dyDescent="0.3">
      <c r="A292" s="12">
        <v>266</v>
      </c>
      <c r="B292" s="13" t="s">
        <v>1247</v>
      </c>
      <c r="C292" s="12" t="s">
        <v>1221</v>
      </c>
      <c r="D292" s="12" t="s">
        <v>477</v>
      </c>
      <c r="E292" s="14" t="s">
        <v>1248</v>
      </c>
      <c r="F292" s="14" t="s">
        <v>1249</v>
      </c>
      <c r="G292" s="14" t="s">
        <v>57</v>
      </c>
      <c r="H292" s="14" t="s">
        <v>97</v>
      </c>
      <c r="I292" s="14" t="s">
        <v>58</v>
      </c>
      <c r="J292" s="12" t="s">
        <v>1250</v>
      </c>
      <c r="K292" s="12" t="s">
        <v>60</v>
      </c>
      <c r="L292" s="18" t="s">
        <v>60</v>
      </c>
      <c r="M292" s="18" t="s">
        <v>60</v>
      </c>
      <c r="N292" s="14"/>
      <c r="O292" s="14" t="s">
        <v>600</v>
      </c>
      <c r="P292" s="12">
        <v>9</v>
      </c>
      <c r="Q292" s="21" t="s">
        <v>136</v>
      </c>
      <c r="R292" s="14" t="s">
        <v>976</v>
      </c>
      <c r="S292" s="12">
        <v>1</v>
      </c>
      <c r="T292" s="14" t="s">
        <v>91</v>
      </c>
      <c r="U292" s="14" t="s">
        <v>1251</v>
      </c>
      <c r="V292" s="17" t="s">
        <v>1252</v>
      </c>
    </row>
    <row r="293" spans="1:22" ht="34.200000000000003" x14ac:dyDescent="0.3">
      <c r="A293" s="12">
        <v>267</v>
      </c>
      <c r="B293" s="13" t="s">
        <v>1253</v>
      </c>
      <c r="C293" s="12" t="s">
        <v>1221</v>
      </c>
      <c r="D293" s="12" t="s">
        <v>307</v>
      </c>
      <c r="E293" s="14" t="s">
        <v>1254</v>
      </c>
      <c r="F293" s="14" t="s">
        <v>1255</v>
      </c>
      <c r="G293" s="14" t="s">
        <v>97</v>
      </c>
      <c r="H293" s="14" t="s">
        <v>57</v>
      </c>
      <c r="I293" s="14" t="s">
        <v>87</v>
      </c>
      <c r="J293" s="12" t="s">
        <v>206</v>
      </c>
      <c r="K293" s="12" t="s">
        <v>60</v>
      </c>
      <c r="L293" s="18" t="s">
        <v>60</v>
      </c>
      <c r="M293" s="18" t="s">
        <v>60</v>
      </c>
      <c r="N293" s="14"/>
      <c r="O293" s="14" t="s">
        <v>365</v>
      </c>
      <c r="P293" s="12">
        <v>7</v>
      </c>
      <c r="Q293" s="21" t="s">
        <v>136</v>
      </c>
      <c r="R293" s="14" t="s">
        <v>366</v>
      </c>
      <c r="S293" s="12">
        <v>14</v>
      </c>
      <c r="T293" s="14" t="s">
        <v>174</v>
      </c>
      <c r="U293" s="14" t="s">
        <v>174</v>
      </c>
      <c r="V293" s="17" t="s">
        <v>1256</v>
      </c>
    </row>
    <row r="294" spans="1:22" x14ac:dyDescent="0.3">
      <c r="A294" s="12">
        <v>268</v>
      </c>
      <c r="B294" s="13" t="s">
        <v>1257</v>
      </c>
      <c r="C294" s="12" t="s">
        <v>1221</v>
      </c>
      <c r="D294" s="12" t="s">
        <v>673</v>
      </c>
      <c r="E294" s="14" t="s">
        <v>1258</v>
      </c>
      <c r="F294" s="14" t="s">
        <v>1259</v>
      </c>
      <c r="G294" s="14" t="s">
        <v>165</v>
      </c>
      <c r="H294" s="14" t="s">
        <v>86</v>
      </c>
      <c r="I294" s="14" t="s">
        <v>87</v>
      </c>
      <c r="J294" s="12" t="s">
        <v>883</v>
      </c>
      <c r="K294" s="12" t="s">
        <v>60</v>
      </c>
      <c r="L294" s="15" t="s">
        <v>37</v>
      </c>
      <c r="M294" s="15" t="s">
        <v>37</v>
      </c>
      <c r="N294" s="14"/>
      <c r="O294" s="14" t="s">
        <v>365</v>
      </c>
      <c r="P294" s="12">
        <v>7</v>
      </c>
      <c r="Q294" s="21" t="s">
        <v>136</v>
      </c>
      <c r="R294" s="14" t="s">
        <v>40</v>
      </c>
      <c r="S294" s="12">
        <v>14</v>
      </c>
      <c r="T294" s="14" t="s">
        <v>41</v>
      </c>
      <c r="U294" s="14" t="s">
        <v>41</v>
      </c>
      <c r="V294" s="17" t="s">
        <v>1260</v>
      </c>
    </row>
    <row r="295" spans="1:22" ht="34.200000000000003" x14ac:dyDescent="0.3">
      <c r="A295" s="12">
        <v>269</v>
      </c>
      <c r="B295" s="13" t="s">
        <v>1261</v>
      </c>
      <c r="C295" s="12" t="s">
        <v>1221</v>
      </c>
      <c r="D295" s="12" t="s">
        <v>678</v>
      </c>
      <c r="E295" s="14" t="s">
        <v>1262</v>
      </c>
      <c r="F295" s="14" t="s">
        <v>1263</v>
      </c>
      <c r="G295" s="14" t="s">
        <v>57</v>
      </c>
      <c r="H295" s="14" t="s">
        <v>57</v>
      </c>
      <c r="I295" s="14" t="s">
        <v>98</v>
      </c>
      <c r="J295" s="12" t="s">
        <v>251</v>
      </c>
      <c r="K295" s="12" t="s">
        <v>60</v>
      </c>
      <c r="L295" s="18" t="s">
        <v>60</v>
      </c>
      <c r="M295" s="15" t="s">
        <v>37</v>
      </c>
      <c r="N295" s="14"/>
      <c r="O295" s="14" t="s">
        <v>456</v>
      </c>
      <c r="P295" s="12">
        <v>5</v>
      </c>
      <c r="Q295" s="19" t="s">
        <v>62</v>
      </c>
      <c r="R295" s="14" t="s">
        <v>639</v>
      </c>
      <c r="S295" s="12">
        <v>0</v>
      </c>
      <c r="T295" s="14" t="s">
        <v>91</v>
      </c>
      <c r="U295" s="14" t="s">
        <v>1264</v>
      </c>
      <c r="V295" s="17" t="s">
        <v>1265</v>
      </c>
    </row>
    <row r="296" spans="1:22" x14ac:dyDescent="0.3">
      <c r="A296" s="12">
        <v>270</v>
      </c>
      <c r="B296" s="13" t="s">
        <v>1266</v>
      </c>
      <c r="C296" s="12" t="s">
        <v>1221</v>
      </c>
      <c r="D296" s="12" t="s">
        <v>1267</v>
      </c>
      <c r="E296" s="14" t="s">
        <v>1268</v>
      </c>
      <c r="F296" s="14" t="s">
        <v>1269</v>
      </c>
      <c r="G296" s="14" t="s">
        <v>268</v>
      </c>
      <c r="H296" s="14" t="s">
        <v>57</v>
      </c>
      <c r="I296" s="14" t="s">
        <v>58</v>
      </c>
      <c r="J296" s="12" t="s">
        <v>760</v>
      </c>
      <c r="K296" s="12" t="s">
        <v>60</v>
      </c>
      <c r="L296" s="22" t="s">
        <v>146</v>
      </c>
      <c r="M296" s="15" t="s">
        <v>37</v>
      </c>
      <c r="N296" s="14"/>
      <c r="O296" s="14" t="s">
        <v>38</v>
      </c>
      <c r="P296" s="12" t="s">
        <v>34</v>
      </c>
      <c r="Q296" s="16" t="s">
        <v>39</v>
      </c>
      <c r="R296" s="14" t="s">
        <v>40</v>
      </c>
      <c r="S296" s="12">
        <v>0</v>
      </c>
      <c r="T296" s="14" t="s">
        <v>138</v>
      </c>
      <c r="U296" s="14" t="s">
        <v>138</v>
      </c>
      <c r="V296" s="17" t="s">
        <v>1270</v>
      </c>
    </row>
    <row r="297" spans="1:22" ht="34.200000000000003" x14ac:dyDescent="0.3">
      <c r="A297" s="12">
        <v>271</v>
      </c>
      <c r="B297" s="13" t="s">
        <v>1271</v>
      </c>
      <c r="C297" s="12" t="s">
        <v>1221</v>
      </c>
      <c r="D297" s="12" t="s">
        <v>483</v>
      </c>
      <c r="E297" s="14" t="s">
        <v>1272</v>
      </c>
      <c r="F297" s="14" t="s">
        <v>1273</v>
      </c>
      <c r="G297" s="14" t="s">
        <v>97</v>
      </c>
      <c r="H297" s="14" t="s">
        <v>97</v>
      </c>
      <c r="I297" s="14" t="s">
        <v>58</v>
      </c>
      <c r="J297" s="12" t="s">
        <v>1274</v>
      </c>
      <c r="K297" s="12" t="s">
        <v>60</v>
      </c>
      <c r="L297" s="15" t="s">
        <v>37</v>
      </c>
      <c r="M297" s="15" t="s">
        <v>37</v>
      </c>
      <c r="N297" s="14"/>
      <c r="O297" s="14" t="s">
        <v>61</v>
      </c>
      <c r="P297" s="12">
        <v>3</v>
      </c>
      <c r="Q297" s="19" t="s">
        <v>62</v>
      </c>
      <c r="R297" s="14" t="s">
        <v>40</v>
      </c>
      <c r="S297" s="12">
        <v>37</v>
      </c>
      <c r="T297" s="14" t="s">
        <v>138</v>
      </c>
      <c r="U297" s="14" t="s">
        <v>444</v>
      </c>
      <c r="V297" s="17" t="s">
        <v>1275</v>
      </c>
    </row>
    <row r="298" spans="1:22" x14ac:dyDescent="0.3">
      <c r="A298" s="12">
        <v>272</v>
      </c>
      <c r="B298" s="13" t="s">
        <v>1276</v>
      </c>
      <c r="C298" s="12" t="s">
        <v>1221</v>
      </c>
      <c r="D298" s="12" t="s">
        <v>1277</v>
      </c>
      <c r="E298" s="14" t="s">
        <v>34</v>
      </c>
      <c r="F298" s="14" t="s">
        <v>34</v>
      </c>
      <c r="G298" s="14" t="s">
        <v>35</v>
      </c>
      <c r="H298" s="14" t="s">
        <v>35</v>
      </c>
      <c r="I298" s="14" t="s">
        <v>36</v>
      </c>
      <c r="J298" s="12" t="s">
        <v>34</v>
      </c>
      <c r="K298" s="12" t="s">
        <v>34</v>
      </c>
      <c r="L298" s="15" t="s">
        <v>37</v>
      </c>
      <c r="M298" s="15" t="s">
        <v>37</v>
      </c>
      <c r="N298" s="14"/>
      <c r="O298" s="14" t="s">
        <v>38</v>
      </c>
      <c r="P298" s="12" t="s">
        <v>34</v>
      </c>
      <c r="Q298" s="16" t="s">
        <v>39</v>
      </c>
      <c r="R298" s="14" t="s">
        <v>40</v>
      </c>
      <c r="S298" s="12">
        <v>0</v>
      </c>
      <c r="T298" s="14" t="s">
        <v>41</v>
      </c>
      <c r="U298" s="14" t="s">
        <v>41</v>
      </c>
      <c r="V298" s="17"/>
    </row>
    <row r="299" spans="1:22" ht="22.8" x14ac:dyDescent="0.3">
      <c r="A299" s="12">
        <v>273</v>
      </c>
      <c r="B299" s="13" t="s">
        <v>1278</v>
      </c>
      <c r="C299" s="12" t="s">
        <v>1221</v>
      </c>
      <c r="D299" s="12" t="s">
        <v>1119</v>
      </c>
      <c r="E299" s="14" t="s">
        <v>1279</v>
      </c>
      <c r="F299" s="14" t="s">
        <v>1280</v>
      </c>
      <c r="G299" s="14" t="s">
        <v>57</v>
      </c>
      <c r="H299" s="14" t="s">
        <v>86</v>
      </c>
      <c r="I299" s="14" t="s">
        <v>87</v>
      </c>
      <c r="J299" s="12" t="s">
        <v>539</v>
      </c>
      <c r="K299" s="12" t="s">
        <v>60</v>
      </c>
      <c r="L299" s="15" t="s">
        <v>37</v>
      </c>
      <c r="M299" s="15" t="s">
        <v>37</v>
      </c>
      <c r="N299" s="14" t="s">
        <v>998</v>
      </c>
      <c r="O299" s="14" t="s">
        <v>1059</v>
      </c>
      <c r="P299" s="12" t="s">
        <v>34</v>
      </c>
      <c r="Q299" s="16" t="s">
        <v>39</v>
      </c>
      <c r="R299" s="14" t="s">
        <v>1281</v>
      </c>
      <c r="S299" s="12">
        <v>0</v>
      </c>
      <c r="T299" s="14" t="s">
        <v>367</v>
      </c>
      <c r="U299" s="14" t="s">
        <v>367</v>
      </c>
      <c r="V299" s="17" t="s">
        <v>1282</v>
      </c>
    </row>
    <row r="300" spans="1:22" x14ac:dyDescent="0.3">
      <c r="A300" s="12">
        <v>274</v>
      </c>
      <c r="B300" s="13" t="s">
        <v>1276</v>
      </c>
      <c r="C300" s="12" t="s">
        <v>1221</v>
      </c>
      <c r="D300" s="12" t="s">
        <v>122</v>
      </c>
      <c r="E300" s="14" t="s">
        <v>34</v>
      </c>
      <c r="F300" s="14" t="s">
        <v>34</v>
      </c>
      <c r="G300" s="14" t="s">
        <v>35</v>
      </c>
      <c r="H300" s="14" t="s">
        <v>35</v>
      </c>
      <c r="I300" s="14" t="s">
        <v>36</v>
      </c>
      <c r="J300" s="12" t="s">
        <v>34</v>
      </c>
      <c r="K300" s="12" t="s">
        <v>34</v>
      </c>
      <c r="L300" s="15" t="s">
        <v>37</v>
      </c>
      <c r="M300" s="15" t="s">
        <v>37</v>
      </c>
      <c r="N300" s="14"/>
      <c r="O300" s="14" t="s">
        <v>38</v>
      </c>
      <c r="P300" s="12" t="s">
        <v>34</v>
      </c>
      <c r="Q300" s="16" t="s">
        <v>39</v>
      </c>
      <c r="R300" s="14" t="s">
        <v>40</v>
      </c>
      <c r="S300" s="12">
        <v>0</v>
      </c>
      <c r="T300" s="14" t="s">
        <v>41</v>
      </c>
      <c r="U300" s="14" t="s">
        <v>41</v>
      </c>
      <c r="V300" s="17"/>
    </row>
    <row r="301" spans="1:22" ht="22.8" x14ac:dyDescent="0.3">
      <c r="A301" s="12">
        <v>275</v>
      </c>
      <c r="B301" s="13" t="s">
        <v>1283</v>
      </c>
      <c r="C301" s="12" t="s">
        <v>1221</v>
      </c>
      <c r="D301" s="12" t="s">
        <v>1284</v>
      </c>
      <c r="E301" s="14" t="s">
        <v>1285</v>
      </c>
      <c r="F301" s="14" t="s">
        <v>1286</v>
      </c>
      <c r="G301" s="14" t="s">
        <v>278</v>
      </c>
      <c r="H301" s="14" t="s">
        <v>97</v>
      </c>
      <c r="I301" s="14" t="s">
        <v>87</v>
      </c>
      <c r="J301" s="12" t="s">
        <v>279</v>
      </c>
      <c r="K301" s="12" t="s">
        <v>60</v>
      </c>
      <c r="L301" s="18" t="s">
        <v>60</v>
      </c>
      <c r="M301" s="22" t="s">
        <v>146</v>
      </c>
      <c r="N301" s="14"/>
      <c r="O301" s="14" t="s">
        <v>100</v>
      </c>
      <c r="P301" s="12">
        <v>11</v>
      </c>
      <c r="Q301" s="20" t="s">
        <v>101</v>
      </c>
      <c r="R301" s="14" t="s">
        <v>90</v>
      </c>
      <c r="S301" s="12">
        <v>9</v>
      </c>
      <c r="T301" s="14" t="s">
        <v>41</v>
      </c>
      <c r="U301" s="14" t="s">
        <v>41</v>
      </c>
      <c r="V301" s="17" t="s">
        <v>1287</v>
      </c>
    </row>
    <row r="303" spans="1:22" x14ac:dyDescent="0.3">
      <c r="A303" s="10" t="s">
        <v>1288</v>
      </c>
      <c r="B303" s="11"/>
      <c r="C303" s="11"/>
      <c r="D303" s="11"/>
      <c r="E303" s="11"/>
      <c r="F303" s="11"/>
      <c r="G303" s="11"/>
      <c r="H303" s="11"/>
      <c r="I303" s="11"/>
      <c r="J303" s="11"/>
      <c r="K303" s="11"/>
      <c r="L303" s="11"/>
      <c r="M303" s="11"/>
      <c r="N303" s="11"/>
      <c r="O303" s="11"/>
      <c r="P303" s="11"/>
      <c r="Q303" s="11"/>
      <c r="R303" s="11"/>
      <c r="S303" s="11"/>
      <c r="T303" s="11"/>
      <c r="U303" s="11"/>
      <c r="V303" s="11"/>
    </row>
    <row r="304" spans="1:22" x14ac:dyDescent="0.3">
      <c r="A304" s="12">
        <v>276</v>
      </c>
      <c r="B304" s="13" t="s">
        <v>1289</v>
      </c>
      <c r="C304" s="12" t="s">
        <v>1290</v>
      </c>
      <c r="D304" s="12" t="s">
        <v>33</v>
      </c>
      <c r="E304" s="14" t="s">
        <v>1291</v>
      </c>
      <c r="F304" s="14" t="s">
        <v>1292</v>
      </c>
      <c r="G304" s="14" t="s">
        <v>57</v>
      </c>
      <c r="H304" s="14" t="s">
        <v>57</v>
      </c>
      <c r="I304" s="14" t="s">
        <v>98</v>
      </c>
      <c r="J304" s="12" t="s">
        <v>1100</v>
      </c>
      <c r="K304" s="12" t="s">
        <v>60</v>
      </c>
      <c r="L304" s="22" t="s">
        <v>146</v>
      </c>
      <c r="M304" s="18" t="s">
        <v>60</v>
      </c>
      <c r="N304" s="14"/>
      <c r="O304" s="14" t="s">
        <v>100</v>
      </c>
      <c r="P304" s="12">
        <v>11</v>
      </c>
      <c r="Q304" s="20" t="s">
        <v>101</v>
      </c>
      <c r="R304" s="14" t="s">
        <v>90</v>
      </c>
      <c r="S304" s="12">
        <v>9</v>
      </c>
      <c r="T304" s="14" t="s">
        <v>261</v>
      </c>
      <c r="U304" s="14" t="s">
        <v>1293</v>
      </c>
      <c r="V304" s="17" t="s">
        <v>1294</v>
      </c>
    </row>
    <row r="305" spans="1:22" ht="45.6" x14ac:dyDescent="0.3">
      <c r="A305" s="12">
        <v>277</v>
      </c>
      <c r="B305" s="13" t="s">
        <v>1295</v>
      </c>
      <c r="C305" s="12" t="s">
        <v>1290</v>
      </c>
      <c r="D305" s="12" t="s">
        <v>33</v>
      </c>
      <c r="E305" s="14" t="s">
        <v>1296</v>
      </c>
      <c r="F305" s="14" t="s">
        <v>1297</v>
      </c>
      <c r="G305" s="14" t="s">
        <v>57</v>
      </c>
      <c r="H305" s="14" t="s">
        <v>57</v>
      </c>
      <c r="I305" s="14" t="s">
        <v>58</v>
      </c>
      <c r="J305" s="12" t="s">
        <v>59</v>
      </c>
      <c r="K305" s="12" t="s">
        <v>60</v>
      </c>
      <c r="L305" s="15" t="s">
        <v>37</v>
      </c>
      <c r="M305" s="15" t="s">
        <v>37</v>
      </c>
      <c r="N305" s="14"/>
      <c r="O305" s="14" t="s">
        <v>100</v>
      </c>
      <c r="P305" s="12">
        <v>11</v>
      </c>
      <c r="Q305" s="20" t="s">
        <v>101</v>
      </c>
      <c r="R305" s="14" t="s">
        <v>40</v>
      </c>
      <c r="S305" s="12">
        <v>9</v>
      </c>
      <c r="T305" s="14" t="s">
        <v>138</v>
      </c>
      <c r="U305" s="14" t="s">
        <v>1298</v>
      </c>
      <c r="V305" s="17" t="s">
        <v>1299</v>
      </c>
    </row>
    <row r="306" spans="1:22" ht="22.8" x14ac:dyDescent="0.3">
      <c r="A306" s="12">
        <v>278</v>
      </c>
      <c r="B306" s="13" t="s">
        <v>1300</v>
      </c>
      <c r="C306" s="12" t="s">
        <v>1290</v>
      </c>
      <c r="D306" s="12" t="s">
        <v>33</v>
      </c>
      <c r="E306" s="14" t="s">
        <v>831</v>
      </c>
      <c r="F306" s="14" t="s">
        <v>1301</v>
      </c>
      <c r="G306" s="14" t="s">
        <v>57</v>
      </c>
      <c r="H306" s="14" t="s">
        <v>57</v>
      </c>
      <c r="I306" s="14" t="s">
        <v>87</v>
      </c>
      <c r="J306" s="12" t="s">
        <v>206</v>
      </c>
      <c r="K306" s="12" t="s">
        <v>60</v>
      </c>
      <c r="L306" s="15" t="s">
        <v>37</v>
      </c>
      <c r="M306" s="15" t="s">
        <v>37</v>
      </c>
      <c r="N306" s="14"/>
      <c r="O306" s="14" t="s">
        <v>833</v>
      </c>
      <c r="P306" s="12">
        <v>12</v>
      </c>
      <c r="Q306" s="20" t="s">
        <v>101</v>
      </c>
      <c r="R306" s="14" t="s">
        <v>40</v>
      </c>
      <c r="S306" s="12">
        <v>18</v>
      </c>
      <c r="T306" s="14" t="s">
        <v>138</v>
      </c>
      <c r="U306" s="14" t="s">
        <v>1302</v>
      </c>
      <c r="V306" s="17" t="s">
        <v>1303</v>
      </c>
    </row>
    <row r="307" spans="1:22" ht="34.200000000000003" x14ac:dyDescent="0.3">
      <c r="A307" s="12">
        <v>279</v>
      </c>
      <c r="B307" s="13" t="s">
        <v>1304</v>
      </c>
      <c r="C307" s="12" t="s">
        <v>1290</v>
      </c>
      <c r="D307" s="12" t="s">
        <v>51</v>
      </c>
      <c r="E307" s="14" t="s">
        <v>747</v>
      </c>
      <c r="F307" s="14" t="s">
        <v>748</v>
      </c>
      <c r="G307" s="14" t="s">
        <v>57</v>
      </c>
      <c r="H307" s="14" t="s">
        <v>85</v>
      </c>
      <c r="I307" s="14" t="s">
        <v>58</v>
      </c>
      <c r="J307" s="12" t="s">
        <v>59</v>
      </c>
      <c r="K307" s="12" t="s">
        <v>60</v>
      </c>
      <c r="L307" s="15" t="s">
        <v>37</v>
      </c>
      <c r="M307" s="15" t="s">
        <v>37</v>
      </c>
      <c r="N307" s="14"/>
      <c r="O307" s="14" t="s">
        <v>365</v>
      </c>
      <c r="P307" s="12">
        <v>7</v>
      </c>
      <c r="Q307" s="21" t="s">
        <v>136</v>
      </c>
      <c r="R307" s="14" t="s">
        <v>749</v>
      </c>
      <c r="S307" s="12">
        <v>14</v>
      </c>
      <c r="T307" s="14" t="s">
        <v>138</v>
      </c>
      <c r="U307" s="14" t="s">
        <v>1305</v>
      </c>
      <c r="V307" s="17" t="s">
        <v>1306</v>
      </c>
    </row>
    <row r="308" spans="1:22" ht="34.200000000000003" x14ac:dyDescent="0.3">
      <c r="A308" s="12">
        <v>280</v>
      </c>
      <c r="B308" s="13" t="s">
        <v>1307</v>
      </c>
      <c r="C308" s="12" t="s">
        <v>1290</v>
      </c>
      <c r="D308" s="12" t="s">
        <v>68</v>
      </c>
      <c r="E308" s="14" t="s">
        <v>1308</v>
      </c>
      <c r="F308" s="14" t="s">
        <v>1309</v>
      </c>
      <c r="G308" s="14" t="s">
        <v>57</v>
      </c>
      <c r="H308" s="14" t="s">
        <v>57</v>
      </c>
      <c r="I308" s="14" t="s">
        <v>58</v>
      </c>
      <c r="J308" s="12" t="s">
        <v>59</v>
      </c>
      <c r="K308" s="12" t="s">
        <v>60</v>
      </c>
      <c r="L308" s="18" t="s">
        <v>60</v>
      </c>
      <c r="M308" s="18" t="s">
        <v>60</v>
      </c>
      <c r="N308" s="14"/>
      <c r="O308" s="14" t="s">
        <v>153</v>
      </c>
      <c r="P308" s="12">
        <v>6</v>
      </c>
      <c r="Q308" s="21" t="s">
        <v>136</v>
      </c>
      <c r="R308" s="14" t="s">
        <v>1310</v>
      </c>
      <c r="S308" s="12">
        <v>22</v>
      </c>
      <c r="T308" s="14" t="s">
        <v>174</v>
      </c>
      <c r="U308" s="14" t="s">
        <v>1311</v>
      </c>
      <c r="V308" s="17" t="s">
        <v>1312</v>
      </c>
    </row>
    <row r="309" spans="1:22" x14ac:dyDescent="0.3">
      <c r="A309" s="12">
        <v>281</v>
      </c>
      <c r="B309" s="13" t="s">
        <v>1313</v>
      </c>
      <c r="C309" s="12" t="s">
        <v>1290</v>
      </c>
      <c r="D309" s="12" t="s">
        <v>70</v>
      </c>
      <c r="E309" s="14" t="s">
        <v>1314</v>
      </c>
      <c r="F309" s="14" t="s">
        <v>1315</v>
      </c>
      <c r="G309" s="14" t="s">
        <v>57</v>
      </c>
      <c r="H309" s="14" t="s">
        <v>377</v>
      </c>
      <c r="I309" s="14" t="s">
        <v>87</v>
      </c>
      <c r="J309" s="12" t="s">
        <v>1316</v>
      </c>
      <c r="K309" s="12" t="s">
        <v>60</v>
      </c>
      <c r="L309" s="15" t="s">
        <v>37</v>
      </c>
      <c r="M309" s="15" t="s">
        <v>37</v>
      </c>
      <c r="N309" s="14"/>
      <c r="O309" s="14" t="s">
        <v>135</v>
      </c>
      <c r="P309" s="12">
        <v>9</v>
      </c>
      <c r="Q309" s="21" t="s">
        <v>136</v>
      </c>
      <c r="R309" s="14" t="s">
        <v>1317</v>
      </c>
      <c r="S309" s="12">
        <v>51</v>
      </c>
      <c r="T309" s="14" t="s">
        <v>138</v>
      </c>
      <c r="U309" s="14" t="s">
        <v>138</v>
      </c>
      <c r="V309" s="17" t="s">
        <v>1318</v>
      </c>
    </row>
    <row r="310" spans="1:22" ht="34.200000000000003" x14ac:dyDescent="0.3">
      <c r="A310" s="12">
        <v>282</v>
      </c>
      <c r="B310" s="13" t="s">
        <v>1319</v>
      </c>
      <c r="C310" s="12" t="s">
        <v>1290</v>
      </c>
      <c r="D310" s="12" t="s">
        <v>231</v>
      </c>
      <c r="E310" s="14" t="s">
        <v>1320</v>
      </c>
      <c r="F310" s="14" t="s">
        <v>1321</v>
      </c>
      <c r="G310" s="14" t="s">
        <v>57</v>
      </c>
      <c r="H310" s="14" t="s">
        <v>86</v>
      </c>
      <c r="I310" s="14" t="s">
        <v>212</v>
      </c>
      <c r="J310" s="12" t="s">
        <v>258</v>
      </c>
      <c r="K310" s="12" t="s">
        <v>60</v>
      </c>
      <c r="L310" s="15" t="s">
        <v>37</v>
      </c>
      <c r="M310" s="15" t="s">
        <v>37</v>
      </c>
      <c r="N310" s="14"/>
      <c r="O310" s="14" t="s">
        <v>556</v>
      </c>
      <c r="P310" s="12">
        <v>9</v>
      </c>
      <c r="Q310" s="21" t="s">
        <v>136</v>
      </c>
      <c r="R310" s="14" t="s">
        <v>40</v>
      </c>
      <c r="S310" s="12">
        <v>10</v>
      </c>
      <c r="T310" s="14" t="s">
        <v>367</v>
      </c>
      <c r="U310" s="14" t="s">
        <v>367</v>
      </c>
      <c r="V310" s="17" t="s">
        <v>1322</v>
      </c>
    </row>
    <row r="311" spans="1:22" ht="34.200000000000003" x14ac:dyDescent="0.3">
      <c r="A311" s="12">
        <v>283</v>
      </c>
      <c r="B311" s="13" t="s">
        <v>1323</v>
      </c>
      <c r="C311" s="12" t="s">
        <v>1290</v>
      </c>
      <c r="D311" s="12" t="s">
        <v>451</v>
      </c>
      <c r="E311" s="14" t="s">
        <v>1324</v>
      </c>
      <c r="F311" s="14" t="s">
        <v>1325</v>
      </c>
      <c r="G311" s="14" t="s">
        <v>57</v>
      </c>
      <c r="H311" s="14" t="s">
        <v>86</v>
      </c>
      <c r="I311" s="14" t="s">
        <v>212</v>
      </c>
      <c r="J311" s="12" t="s">
        <v>258</v>
      </c>
      <c r="K311" s="12" t="s">
        <v>60</v>
      </c>
      <c r="L311" s="15" t="s">
        <v>37</v>
      </c>
      <c r="M311" s="15" t="s">
        <v>37</v>
      </c>
      <c r="N311" s="14"/>
      <c r="O311" s="14" t="s">
        <v>259</v>
      </c>
      <c r="P311" s="12">
        <v>4</v>
      </c>
      <c r="Q311" s="19" t="s">
        <v>62</v>
      </c>
      <c r="R311" s="14" t="s">
        <v>40</v>
      </c>
      <c r="S311" s="12">
        <v>10</v>
      </c>
      <c r="T311" s="14" t="s">
        <v>64</v>
      </c>
      <c r="U311" s="14" t="s">
        <v>1326</v>
      </c>
      <c r="V311" s="17" t="s">
        <v>1327</v>
      </c>
    </row>
    <row r="312" spans="1:22" x14ac:dyDescent="0.3">
      <c r="A312" s="12">
        <v>284</v>
      </c>
      <c r="B312" s="13" t="s">
        <v>1328</v>
      </c>
      <c r="C312" s="12" t="s">
        <v>1290</v>
      </c>
      <c r="D312" s="12" t="s">
        <v>105</v>
      </c>
      <c r="E312" s="14" t="s">
        <v>34</v>
      </c>
      <c r="F312" s="14" t="s">
        <v>34</v>
      </c>
      <c r="G312" s="14" t="s">
        <v>35</v>
      </c>
      <c r="H312" s="14" t="s">
        <v>35</v>
      </c>
      <c r="I312" s="14" t="s">
        <v>36</v>
      </c>
      <c r="J312" s="12" t="s">
        <v>34</v>
      </c>
      <c r="K312" s="12" t="s">
        <v>34</v>
      </c>
      <c r="L312" s="15" t="s">
        <v>37</v>
      </c>
      <c r="M312" s="15" t="s">
        <v>37</v>
      </c>
      <c r="N312" s="14"/>
      <c r="O312" s="14" t="s">
        <v>38</v>
      </c>
      <c r="P312" s="12" t="s">
        <v>34</v>
      </c>
      <c r="Q312" s="16" t="s">
        <v>39</v>
      </c>
      <c r="R312" s="14" t="s">
        <v>40</v>
      </c>
      <c r="S312" s="12">
        <v>0</v>
      </c>
      <c r="T312" s="14" t="s">
        <v>41</v>
      </c>
      <c r="U312" s="14" t="s">
        <v>41</v>
      </c>
      <c r="V312" s="17"/>
    </row>
    <row r="313" spans="1:22" ht="22.8" x14ac:dyDescent="0.3">
      <c r="A313" s="12">
        <v>285</v>
      </c>
      <c r="B313" s="13" t="s">
        <v>1329</v>
      </c>
      <c r="C313" s="12" t="s">
        <v>1290</v>
      </c>
      <c r="D313" s="12" t="s">
        <v>471</v>
      </c>
      <c r="E313" s="14" t="s">
        <v>1330</v>
      </c>
      <c r="F313" s="14" t="s">
        <v>1331</v>
      </c>
      <c r="G313" s="14" t="s">
        <v>278</v>
      </c>
      <c r="H313" s="14" t="s">
        <v>278</v>
      </c>
      <c r="I313" s="14" t="s">
        <v>212</v>
      </c>
      <c r="J313" s="12" t="s">
        <v>292</v>
      </c>
      <c r="K313" s="12" t="s">
        <v>60</v>
      </c>
      <c r="L313" s="15" t="s">
        <v>37</v>
      </c>
      <c r="M313" s="15" t="s">
        <v>37</v>
      </c>
      <c r="N313" s="14"/>
      <c r="O313" s="14" t="s">
        <v>1332</v>
      </c>
      <c r="P313" s="12">
        <v>14</v>
      </c>
      <c r="Q313" s="20" t="s">
        <v>101</v>
      </c>
      <c r="R313" s="14" t="s">
        <v>40</v>
      </c>
      <c r="S313" s="12">
        <v>3</v>
      </c>
      <c r="T313" s="14" t="s">
        <v>41</v>
      </c>
      <c r="U313" s="14" t="s">
        <v>41</v>
      </c>
      <c r="V313" s="17" t="s">
        <v>1333</v>
      </c>
    </row>
    <row r="314" spans="1:22" ht="34.200000000000003" x14ac:dyDescent="0.3">
      <c r="A314" s="12">
        <v>286</v>
      </c>
      <c r="B314" s="13" t="s">
        <v>1334</v>
      </c>
      <c r="C314" s="12" t="s">
        <v>1290</v>
      </c>
      <c r="D314" s="12" t="s">
        <v>477</v>
      </c>
      <c r="E314" s="14" t="s">
        <v>1335</v>
      </c>
      <c r="F314" s="14" t="s">
        <v>1336</v>
      </c>
      <c r="G314" s="14" t="s">
        <v>268</v>
      </c>
      <c r="H314" s="14" t="s">
        <v>97</v>
      </c>
      <c r="I314" s="14" t="s">
        <v>87</v>
      </c>
      <c r="J314" s="12" t="s">
        <v>279</v>
      </c>
      <c r="K314" s="12" t="s">
        <v>60</v>
      </c>
      <c r="L314" s="15" t="s">
        <v>37</v>
      </c>
      <c r="M314" s="22" t="s">
        <v>146</v>
      </c>
      <c r="N314" s="14"/>
      <c r="O314" s="14" t="s">
        <v>456</v>
      </c>
      <c r="P314" s="12">
        <v>3</v>
      </c>
      <c r="Q314" s="19" t="s">
        <v>62</v>
      </c>
      <c r="R314" s="14" t="s">
        <v>40</v>
      </c>
      <c r="S314" s="12">
        <v>0</v>
      </c>
      <c r="T314" s="14" t="s">
        <v>311</v>
      </c>
      <c r="U314" s="14" t="s">
        <v>1337</v>
      </c>
      <c r="V314" s="17" t="s">
        <v>1338</v>
      </c>
    </row>
    <row r="315" spans="1:22" x14ac:dyDescent="0.3">
      <c r="A315" s="12">
        <v>287</v>
      </c>
      <c r="B315" s="13" t="s">
        <v>1328</v>
      </c>
      <c r="C315" s="12" t="s">
        <v>1290</v>
      </c>
      <c r="D315" s="12" t="s">
        <v>678</v>
      </c>
      <c r="E315" s="14" t="s">
        <v>34</v>
      </c>
      <c r="F315" s="14" t="s">
        <v>34</v>
      </c>
      <c r="G315" s="14" t="s">
        <v>35</v>
      </c>
      <c r="H315" s="14" t="s">
        <v>35</v>
      </c>
      <c r="I315" s="14" t="s">
        <v>36</v>
      </c>
      <c r="J315" s="12" t="s">
        <v>34</v>
      </c>
      <c r="K315" s="12" t="s">
        <v>34</v>
      </c>
      <c r="L315" s="15" t="s">
        <v>37</v>
      </c>
      <c r="M315" s="15" t="s">
        <v>37</v>
      </c>
      <c r="N315" s="14"/>
      <c r="O315" s="14" t="s">
        <v>38</v>
      </c>
      <c r="P315" s="12" t="s">
        <v>34</v>
      </c>
      <c r="Q315" s="16" t="s">
        <v>39</v>
      </c>
      <c r="R315" s="14" t="s">
        <v>40</v>
      </c>
      <c r="S315" s="12">
        <v>0</v>
      </c>
      <c r="T315" s="14" t="s">
        <v>41</v>
      </c>
      <c r="U315" s="14" t="s">
        <v>41</v>
      </c>
      <c r="V315" s="17"/>
    </row>
    <row r="316" spans="1:22" ht="34.200000000000003" x14ac:dyDescent="0.3">
      <c r="A316" s="12">
        <v>288</v>
      </c>
      <c r="B316" s="13" t="s">
        <v>1339</v>
      </c>
      <c r="C316" s="12" t="s">
        <v>1290</v>
      </c>
      <c r="D316" s="12" t="s">
        <v>1089</v>
      </c>
      <c r="E316" s="14" t="s">
        <v>1340</v>
      </c>
      <c r="F316" s="14" t="s">
        <v>1341</v>
      </c>
      <c r="G316" s="14" t="s">
        <v>57</v>
      </c>
      <c r="H316" s="14" t="s">
        <v>57</v>
      </c>
      <c r="I316" s="14" t="s">
        <v>212</v>
      </c>
      <c r="J316" s="12" t="s">
        <v>564</v>
      </c>
      <c r="K316" s="12" t="s">
        <v>60</v>
      </c>
      <c r="L316" s="15" t="s">
        <v>37</v>
      </c>
      <c r="M316" s="15" t="s">
        <v>37</v>
      </c>
      <c r="N316" s="14"/>
      <c r="O316" s="14" t="s">
        <v>89</v>
      </c>
      <c r="P316" s="12">
        <v>1</v>
      </c>
      <c r="Q316" s="19" t="s">
        <v>62</v>
      </c>
      <c r="R316" s="14" t="s">
        <v>40</v>
      </c>
      <c r="S316" s="12">
        <v>13</v>
      </c>
      <c r="T316" s="14" t="s">
        <v>138</v>
      </c>
      <c r="U316" s="14" t="s">
        <v>1082</v>
      </c>
      <c r="V316" s="17" t="s">
        <v>1342</v>
      </c>
    </row>
    <row r="317" spans="1:22" ht="22.8" x14ac:dyDescent="0.3">
      <c r="A317" s="12">
        <v>289</v>
      </c>
      <c r="B317" s="13" t="s">
        <v>1343</v>
      </c>
      <c r="C317" s="12" t="s">
        <v>1290</v>
      </c>
      <c r="D317" s="12" t="s">
        <v>328</v>
      </c>
      <c r="E317" s="14" t="s">
        <v>969</v>
      </c>
      <c r="F317" s="14" t="s">
        <v>970</v>
      </c>
      <c r="G317" s="14" t="s">
        <v>165</v>
      </c>
      <c r="H317" s="14" t="s">
        <v>165</v>
      </c>
      <c r="I317" s="14" t="s">
        <v>98</v>
      </c>
      <c r="J317" s="12" t="s">
        <v>240</v>
      </c>
      <c r="K317" s="12" t="s">
        <v>60</v>
      </c>
      <c r="L317" s="15" t="s">
        <v>37</v>
      </c>
      <c r="M317" s="15" t="s">
        <v>37</v>
      </c>
      <c r="N317" s="14"/>
      <c r="O317" s="14" t="s">
        <v>38</v>
      </c>
      <c r="P317" s="12" t="s">
        <v>34</v>
      </c>
      <c r="Q317" s="16" t="s">
        <v>39</v>
      </c>
      <c r="R317" s="14" t="s">
        <v>40</v>
      </c>
      <c r="S317" s="12">
        <v>0</v>
      </c>
      <c r="T317" s="14" t="s">
        <v>367</v>
      </c>
      <c r="U317" s="14" t="s">
        <v>1344</v>
      </c>
      <c r="V317" s="17" t="s">
        <v>1345</v>
      </c>
    </row>
    <row r="318" spans="1:22" ht="34.200000000000003" x14ac:dyDescent="0.3">
      <c r="A318" s="12">
        <v>290</v>
      </c>
      <c r="B318" s="13" t="s">
        <v>1346</v>
      </c>
      <c r="C318" s="12" t="s">
        <v>1290</v>
      </c>
      <c r="D318" s="12" t="s">
        <v>1347</v>
      </c>
      <c r="E318" s="14" t="s">
        <v>1348</v>
      </c>
      <c r="F318" s="14" t="s">
        <v>1349</v>
      </c>
      <c r="G318" s="14" t="s">
        <v>165</v>
      </c>
      <c r="H318" s="14" t="s">
        <v>86</v>
      </c>
      <c r="I318" s="14" t="s">
        <v>87</v>
      </c>
      <c r="J318" s="12" t="s">
        <v>378</v>
      </c>
      <c r="K318" s="12" t="s">
        <v>60</v>
      </c>
      <c r="L318" s="15" t="s">
        <v>37</v>
      </c>
      <c r="M318" s="15" t="s">
        <v>37</v>
      </c>
      <c r="N318" s="14"/>
      <c r="O318" s="14" t="s">
        <v>89</v>
      </c>
      <c r="P318" s="12">
        <v>1</v>
      </c>
      <c r="Q318" s="19" t="s">
        <v>62</v>
      </c>
      <c r="R318" s="14" t="s">
        <v>1350</v>
      </c>
      <c r="S318" s="12">
        <v>13</v>
      </c>
      <c r="T318" s="14" t="s">
        <v>138</v>
      </c>
      <c r="U318" s="14" t="s">
        <v>1082</v>
      </c>
      <c r="V318" s="17" t="s">
        <v>1351</v>
      </c>
    </row>
    <row r="319" spans="1:22" ht="34.200000000000003" x14ac:dyDescent="0.3">
      <c r="A319" s="12">
        <v>291</v>
      </c>
      <c r="B319" s="13" t="s">
        <v>1352</v>
      </c>
      <c r="C319" s="12" t="s">
        <v>1290</v>
      </c>
      <c r="D319" s="12" t="s">
        <v>1347</v>
      </c>
      <c r="E319" s="14" t="s">
        <v>1348</v>
      </c>
      <c r="F319" s="14" t="s">
        <v>1353</v>
      </c>
      <c r="G319" s="14" t="s">
        <v>165</v>
      </c>
      <c r="H319" s="14" t="s">
        <v>86</v>
      </c>
      <c r="I319" s="14" t="s">
        <v>87</v>
      </c>
      <c r="J319" s="12" t="s">
        <v>378</v>
      </c>
      <c r="K319" s="12" t="s">
        <v>60</v>
      </c>
      <c r="L319" s="15" t="s">
        <v>37</v>
      </c>
      <c r="M319" s="15" t="s">
        <v>37</v>
      </c>
      <c r="N319" s="14"/>
      <c r="O319" s="14" t="s">
        <v>89</v>
      </c>
      <c r="P319" s="12">
        <v>1</v>
      </c>
      <c r="Q319" s="19" t="s">
        <v>62</v>
      </c>
      <c r="R319" s="14" t="s">
        <v>1350</v>
      </c>
      <c r="S319" s="12">
        <v>13</v>
      </c>
      <c r="T319" s="14" t="s">
        <v>138</v>
      </c>
      <c r="U319" s="14" t="s">
        <v>1082</v>
      </c>
      <c r="V319" s="17" t="s">
        <v>1354</v>
      </c>
    </row>
    <row r="320" spans="1:22" x14ac:dyDescent="0.3">
      <c r="A320" s="12">
        <v>292</v>
      </c>
      <c r="B320" s="13" t="s">
        <v>1355</v>
      </c>
      <c r="C320" s="12" t="s">
        <v>1290</v>
      </c>
      <c r="D320" s="12" t="s">
        <v>712</v>
      </c>
      <c r="E320" s="14" t="s">
        <v>1356</v>
      </c>
      <c r="F320" s="14" t="s">
        <v>1357</v>
      </c>
      <c r="G320" s="14" t="s">
        <v>57</v>
      </c>
      <c r="H320" s="14" t="s">
        <v>86</v>
      </c>
      <c r="I320" s="14" t="s">
        <v>98</v>
      </c>
      <c r="J320" s="12" t="s">
        <v>383</v>
      </c>
      <c r="K320" s="12" t="s">
        <v>60</v>
      </c>
      <c r="L320" s="18" t="s">
        <v>60</v>
      </c>
      <c r="M320" s="18" t="s">
        <v>60</v>
      </c>
      <c r="N320" s="14"/>
      <c r="O320" s="14" t="s">
        <v>38</v>
      </c>
      <c r="P320" s="12" t="s">
        <v>34</v>
      </c>
      <c r="Q320" s="16" t="s">
        <v>39</v>
      </c>
      <c r="R320" s="14" t="s">
        <v>40</v>
      </c>
      <c r="S320" s="12">
        <v>0</v>
      </c>
      <c r="T320" s="14" t="s">
        <v>181</v>
      </c>
      <c r="U320" s="14" t="s">
        <v>181</v>
      </c>
      <c r="V320" s="17" t="s">
        <v>1358</v>
      </c>
    </row>
    <row r="321" spans="1:22" ht="22.8" x14ac:dyDescent="0.3">
      <c r="A321" s="12">
        <v>293</v>
      </c>
      <c r="B321" s="13" t="s">
        <v>1359</v>
      </c>
      <c r="C321" s="12" t="s">
        <v>1290</v>
      </c>
      <c r="D321" s="12" t="s">
        <v>360</v>
      </c>
      <c r="E321" s="14" t="s">
        <v>1360</v>
      </c>
      <c r="F321" s="14" t="s">
        <v>1361</v>
      </c>
      <c r="G321" s="14" t="s">
        <v>57</v>
      </c>
      <c r="H321" s="14" t="s">
        <v>377</v>
      </c>
      <c r="I321" s="14" t="s">
        <v>98</v>
      </c>
      <c r="J321" s="12" t="s">
        <v>528</v>
      </c>
      <c r="K321" s="12" t="s">
        <v>60</v>
      </c>
      <c r="L321" s="15" t="s">
        <v>37</v>
      </c>
      <c r="M321" s="15" t="s">
        <v>37</v>
      </c>
      <c r="N321" s="14"/>
      <c r="O321" s="14" t="s">
        <v>1362</v>
      </c>
      <c r="P321" s="12" t="s">
        <v>34</v>
      </c>
      <c r="Q321" s="16" t="s">
        <v>39</v>
      </c>
      <c r="R321" s="14" t="s">
        <v>40</v>
      </c>
      <c r="S321" s="12">
        <v>0</v>
      </c>
      <c r="T321" s="14" t="s">
        <v>138</v>
      </c>
      <c r="U321" s="14" t="s">
        <v>138</v>
      </c>
      <c r="V321" s="17" t="s">
        <v>1363</v>
      </c>
    </row>
    <row r="323" spans="1:22" x14ac:dyDescent="0.3">
      <c r="A323" s="10" t="s">
        <v>1364</v>
      </c>
      <c r="B323" s="11"/>
      <c r="C323" s="11"/>
      <c r="D323" s="11"/>
      <c r="E323" s="11"/>
      <c r="F323" s="11"/>
      <c r="G323" s="11"/>
      <c r="H323" s="11"/>
      <c r="I323" s="11"/>
      <c r="J323" s="11"/>
      <c r="K323" s="11"/>
      <c r="L323" s="11"/>
      <c r="M323" s="11"/>
      <c r="N323" s="11"/>
      <c r="O323" s="11"/>
      <c r="P323" s="11"/>
      <c r="Q323" s="11"/>
      <c r="R323" s="11"/>
      <c r="S323" s="11"/>
      <c r="T323" s="11"/>
      <c r="U323" s="11"/>
      <c r="V323" s="11"/>
    </row>
    <row r="324" spans="1:22" ht="22.8" x14ac:dyDescent="0.3">
      <c r="A324" s="12">
        <v>294</v>
      </c>
      <c r="B324" s="13" t="s">
        <v>1365</v>
      </c>
      <c r="C324" s="12" t="s">
        <v>1366</v>
      </c>
      <c r="D324" s="12" t="s">
        <v>122</v>
      </c>
      <c r="E324" s="14" t="s">
        <v>1367</v>
      </c>
      <c r="F324" s="14" t="s">
        <v>991</v>
      </c>
      <c r="G324" s="14" t="s">
        <v>363</v>
      </c>
      <c r="H324" s="14" t="s">
        <v>165</v>
      </c>
      <c r="I324" s="14" t="s">
        <v>58</v>
      </c>
      <c r="J324" s="12" t="s">
        <v>324</v>
      </c>
      <c r="K324" s="12" t="s">
        <v>60</v>
      </c>
      <c r="L324" s="22" t="s">
        <v>146</v>
      </c>
      <c r="M324" s="15" t="s">
        <v>37</v>
      </c>
      <c r="N324" s="14"/>
      <c r="O324" s="14" t="s">
        <v>38</v>
      </c>
      <c r="P324" s="12" t="s">
        <v>34</v>
      </c>
      <c r="Q324" s="16" t="s">
        <v>39</v>
      </c>
      <c r="R324" s="14" t="s">
        <v>40</v>
      </c>
      <c r="S324" s="12">
        <v>0</v>
      </c>
      <c r="T324" s="14" t="s">
        <v>200</v>
      </c>
      <c r="U324" s="14" t="s">
        <v>200</v>
      </c>
      <c r="V324" s="17" t="s">
        <v>1368</v>
      </c>
    </row>
    <row r="325" spans="1:22" ht="22.8" x14ac:dyDescent="0.3">
      <c r="A325" s="12">
        <v>295</v>
      </c>
      <c r="B325" s="13" t="s">
        <v>1369</v>
      </c>
      <c r="C325" s="12" t="s">
        <v>1366</v>
      </c>
      <c r="D325" s="12" t="s">
        <v>126</v>
      </c>
      <c r="E325" s="14" t="s">
        <v>1370</v>
      </c>
      <c r="F325" s="14" t="s">
        <v>1371</v>
      </c>
      <c r="G325" s="14" t="s">
        <v>57</v>
      </c>
      <c r="H325" s="14" t="s">
        <v>86</v>
      </c>
      <c r="I325" s="14" t="s">
        <v>186</v>
      </c>
      <c r="J325" s="12" t="s">
        <v>187</v>
      </c>
      <c r="K325" s="12" t="s">
        <v>60</v>
      </c>
      <c r="L325" s="15" t="s">
        <v>37</v>
      </c>
      <c r="M325" s="15" t="s">
        <v>37</v>
      </c>
      <c r="N325" s="14"/>
      <c r="O325" s="14" t="s">
        <v>89</v>
      </c>
      <c r="P325" s="12">
        <v>1</v>
      </c>
      <c r="Q325" s="19" t="s">
        <v>62</v>
      </c>
      <c r="R325" s="14" t="s">
        <v>40</v>
      </c>
      <c r="S325" s="12">
        <v>13</v>
      </c>
      <c r="T325" s="14" t="s">
        <v>174</v>
      </c>
      <c r="U325" s="14" t="s">
        <v>174</v>
      </c>
      <c r="V325" s="17" t="s">
        <v>1372</v>
      </c>
    </row>
    <row r="327" spans="1:22" x14ac:dyDescent="0.3">
      <c r="A327" s="10" t="s">
        <v>1373</v>
      </c>
      <c r="B327" s="11"/>
      <c r="C327" s="11"/>
      <c r="D327" s="11"/>
      <c r="E327" s="11"/>
      <c r="F327" s="11"/>
      <c r="G327" s="11"/>
      <c r="H327" s="11"/>
      <c r="I327" s="11"/>
      <c r="J327" s="11"/>
      <c r="K327" s="11"/>
      <c r="L327" s="11"/>
      <c r="M327" s="11"/>
      <c r="N327" s="11"/>
      <c r="O327" s="11"/>
      <c r="P327" s="11"/>
      <c r="Q327" s="11"/>
      <c r="R327" s="11"/>
      <c r="S327" s="11"/>
      <c r="T327" s="11"/>
      <c r="U327" s="11"/>
      <c r="V327" s="11"/>
    </row>
    <row r="328" spans="1:22" ht="34.200000000000003" x14ac:dyDescent="0.3">
      <c r="A328" s="12">
        <v>296</v>
      </c>
      <c r="B328" s="13" t="s">
        <v>1374</v>
      </c>
      <c r="C328" s="12" t="s">
        <v>1375</v>
      </c>
      <c r="D328" s="12" t="s">
        <v>33</v>
      </c>
      <c r="E328" s="14" t="s">
        <v>1376</v>
      </c>
      <c r="F328" s="14" t="s">
        <v>1377</v>
      </c>
      <c r="G328" s="14" t="s">
        <v>165</v>
      </c>
      <c r="H328" s="14" t="s">
        <v>86</v>
      </c>
      <c r="I328" s="14" t="s">
        <v>87</v>
      </c>
      <c r="J328" s="12" t="s">
        <v>883</v>
      </c>
      <c r="K328" s="12" t="s">
        <v>60</v>
      </c>
      <c r="L328" s="15" t="s">
        <v>37</v>
      </c>
      <c r="M328" s="15" t="s">
        <v>37</v>
      </c>
      <c r="N328" s="14" t="s">
        <v>998</v>
      </c>
      <c r="O328" s="14" t="s">
        <v>1059</v>
      </c>
      <c r="P328" s="12" t="s">
        <v>34</v>
      </c>
      <c r="Q328" s="16" t="s">
        <v>39</v>
      </c>
      <c r="R328" s="14" t="s">
        <v>40</v>
      </c>
      <c r="S328" s="12">
        <v>0</v>
      </c>
      <c r="T328" s="14" t="s">
        <v>138</v>
      </c>
      <c r="U328" s="14" t="s">
        <v>1302</v>
      </c>
      <c r="V328" s="17" t="s">
        <v>1378</v>
      </c>
    </row>
    <row r="329" spans="1:22" ht="22.8" x14ac:dyDescent="0.3">
      <c r="A329" s="12">
        <v>297</v>
      </c>
      <c r="B329" s="13" t="s">
        <v>1379</v>
      </c>
      <c r="C329" s="12" t="s">
        <v>1375</v>
      </c>
      <c r="D329" s="12" t="s">
        <v>33</v>
      </c>
      <c r="E329" s="14" t="s">
        <v>1380</v>
      </c>
      <c r="F329" s="14" t="s">
        <v>1381</v>
      </c>
      <c r="G329" s="14" t="s">
        <v>97</v>
      </c>
      <c r="H329" s="14" t="s">
        <v>377</v>
      </c>
      <c r="I329" s="14" t="s">
        <v>212</v>
      </c>
      <c r="J329" s="12" t="s">
        <v>1127</v>
      </c>
      <c r="K329" s="12" t="s">
        <v>60</v>
      </c>
      <c r="L329" s="15" t="s">
        <v>37</v>
      </c>
      <c r="M329" s="15" t="s">
        <v>37</v>
      </c>
      <c r="N329" s="14"/>
      <c r="O329" s="14" t="s">
        <v>556</v>
      </c>
      <c r="P329" s="12">
        <v>9</v>
      </c>
      <c r="Q329" s="21" t="s">
        <v>136</v>
      </c>
      <c r="R329" s="14" t="s">
        <v>40</v>
      </c>
      <c r="S329" s="12">
        <v>10</v>
      </c>
      <c r="T329" s="14" t="s">
        <v>138</v>
      </c>
      <c r="U329" s="14" t="s">
        <v>1382</v>
      </c>
      <c r="V329" s="17" t="s">
        <v>1383</v>
      </c>
    </row>
    <row r="330" spans="1:22" ht="22.8" x14ac:dyDescent="0.3">
      <c r="A330" s="12">
        <v>298</v>
      </c>
      <c r="B330" s="13" t="s">
        <v>1384</v>
      </c>
      <c r="C330" s="12" t="s">
        <v>1375</v>
      </c>
      <c r="D330" s="12" t="s">
        <v>33</v>
      </c>
      <c r="E330" s="14" t="s">
        <v>1385</v>
      </c>
      <c r="F330" s="14" t="s">
        <v>1386</v>
      </c>
      <c r="G330" s="14" t="s">
        <v>57</v>
      </c>
      <c r="H330" s="14" t="s">
        <v>85</v>
      </c>
      <c r="I330" s="14" t="s">
        <v>58</v>
      </c>
      <c r="J330" s="12" t="s">
        <v>1387</v>
      </c>
      <c r="K330" s="12" t="s">
        <v>60</v>
      </c>
      <c r="L330" s="15" t="s">
        <v>37</v>
      </c>
      <c r="M330" s="15" t="s">
        <v>37</v>
      </c>
      <c r="N330" s="14"/>
      <c r="O330" s="14" t="s">
        <v>878</v>
      </c>
      <c r="P330" s="12">
        <v>8</v>
      </c>
      <c r="Q330" s="21" t="s">
        <v>136</v>
      </c>
      <c r="R330" s="14" t="s">
        <v>40</v>
      </c>
      <c r="S330" s="12">
        <v>6</v>
      </c>
      <c r="T330" s="14" t="s">
        <v>367</v>
      </c>
      <c r="U330" s="14" t="s">
        <v>1388</v>
      </c>
      <c r="V330" s="17" t="s">
        <v>1389</v>
      </c>
    </row>
    <row r="331" spans="1:22" ht="22.8" x14ac:dyDescent="0.3">
      <c r="A331" s="12">
        <v>299</v>
      </c>
      <c r="B331" s="13" t="s">
        <v>1390</v>
      </c>
      <c r="C331" s="12" t="s">
        <v>1375</v>
      </c>
      <c r="D331" s="12" t="s">
        <v>49</v>
      </c>
      <c r="E331" s="14" t="s">
        <v>1391</v>
      </c>
      <c r="F331" s="14" t="s">
        <v>1392</v>
      </c>
      <c r="G331" s="14" t="s">
        <v>165</v>
      </c>
      <c r="H331" s="14" t="s">
        <v>97</v>
      </c>
      <c r="I331" s="14" t="s">
        <v>98</v>
      </c>
      <c r="J331" s="12" t="s">
        <v>528</v>
      </c>
      <c r="K331" s="12" t="s">
        <v>60</v>
      </c>
      <c r="L331" s="15" t="s">
        <v>37</v>
      </c>
      <c r="M331" s="15" t="s">
        <v>37</v>
      </c>
      <c r="N331" s="14"/>
      <c r="O331" s="14" t="s">
        <v>1228</v>
      </c>
      <c r="P331" s="12">
        <v>5</v>
      </c>
      <c r="Q331" s="19" t="s">
        <v>62</v>
      </c>
      <c r="R331" s="14" t="s">
        <v>1393</v>
      </c>
      <c r="S331" s="12">
        <v>0</v>
      </c>
      <c r="T331" s="14" t="s">
        <v>138</v>
      </c>
      <c r="U331" s="14" t="s">
        <v>138</v>
      </c>
      <c r="V331" s="17" t="s">
        <v>1394</v>
      </c>
    </row>
    <row r="332" spans="1:22" ht="45.6" x14ac:dyDescent="0.3">
      <c r="A332" s="12">
        <v>300</v>
      </c>
      <c r="B332" s="13" t="s">
        <v>1395</v>
      </c>
      <c r="C332" s="12" t="s">
        <v>1375</v>
      </c>
      <c r="D332" s="12" t="s">
        <v>68</v>
      </c>
      <c r="E332" s="14" t="s">
        <v>1396</v>
      </c>
      <c r="F332" s="14" t="s">
        <v>1397</v>
      </c>
      <c r="G332" s="14" t="s">
        <v>165</v>
      </c>
      <c r="H332" s="14" t="s">
        <v>165</v>
      </c>
      <c r="I332" s="14" t="s">
        <v>98</v>
      </c>
      <c r="J332" s="12" t="s">
        <v>240</v>
      </c>
      <c r="K332" s="12" t="s">
        <v>60</v>
      </c>
      <c r="L332" s="15" t="s">
        <v>37</v>
      </c>
      <c r="M332" s="15" t="s">
        <v>37</v>
      </c>
      <c r="N332" s="14"/>
      <c r="O332" s="14" t="s">
        <v>38</v>
      </c>
      <c r="P332" s="12" t="s">
        <v>34</v>
      </c>
      <c r="Q332" s="16" t="s">
        <v>39</v>
      </c>
      <c r="R332" s="14" t="s">
        <v>1398</v>
      </c>
      <c r="S332" s="12">
        <v>0</v>
      </c>
      <c r="T332" s="14" t="s">
        <v>138</v>
      </c>
      <c r="U332" s="14" t="s">
        <v>1399</v>
      </c>
      <c r="V332" s="17" t="s">
        <v>1400</v>
      </c>
    </row>
    <row r="333" spans="1:22" ht="22.8" x14ac:dyDescent="0.3">
      <c r="A333" s="12">
        <v>301</v>
      </c>
      <c r="B333" s="13" t="s">
        <v>1401</v>
      </c>
      <c r="C333" s="12" t="s">
        <v>1375</v>
      </c>
      <c r="D333" s="12" t="s">
        <v>77</v>
      </c>
      <c r="E333" s="14" t="s">
        <v>1402</v>
      </c>
      <c r="F333" s="14" t="s">
        <v>198</v>
      </c>
      <c r="G333" s="14" t="s">
        <v>97</v>
      </c>
      <c r="H333" s="14" t="s">
        <v>86</v>
      </c>
      <c r="I333" s="14" t="s">
        <v>87</v>
      </c>
      <c r="J333" s="12" t="s">
        <v>633</v>
      </c>
      <c r="K333" s="12" t="s">
        <v>60</v>
      </c>
      <c r="L333" s="18" t="s">
        <v>60</v>
      </c>
      <c r="M333" s="18" t="s">
        <v>60</v>
      </c>
      <c r="N333" s="14"/>
      <c r="O333" s="14" t="s">
        <v>486</v>
      </c>
      <c r="P333" s="12">
        <v>5</v>
      </c>
      <c r="Q333" s="19" t="s">
        <v>62</v>
      </c>
      <c r="R333" s="14" t="s">
        <v>682</v>
      </c>
      <c r="S333" s="12">
        <v>31</v>
      </c>
      <c r="T333" s="14" t="s">
        <v>41</v>
      </c>
      <c r="U333" s="14" t="s">
        <v>41</v>
      </c>
      <c r="V333" s="17" t="s">
        <v>1403</v>
      </c>
    </row>
    <row r="334" spans="1:22" ht="22.8" x14ac:dyDescent="0.3">
      <c r="A334" s="12">
        <v>302</v>
      </c>
      <c r="B334" s="13" t="s">
        <v>1404</v>
      </c>
      <c r="C334" s="12" t="s">
        <v>1375</v>
      </c>
      <c r="D334" s="12" t="s">
        <v>82</v>
      </c>
      <c r="E334" s="14" t="s">
        <v>1405</v>
      </c>
      <c r="F334" s="14" t="s">
        <v>1406</v>
      </c>
      <c r="G334" s="14" t="s">
        <v>85</v>
      </c>
      <c r="H334" s="14" t="s">
        <v>86</v>
      </c>
      <c r="I334" s="14" t="s">
        <v>87</v>
      </c>
      <c r="J334" s="12" t="s">
        <v>88</v>
      </c>
      <c r="K334" s="12" t="s">
        <v>60</v>
      </c>
      <c r="L334" s="15" t="s">
        <v>37</v>
      </c>
      <c r="M334" s="15" t="s">
        <v>37</v>
      </c>
      <c r="N334" s="14"/>
      <c r="O334" s="14" t="s">
        <v>38</v>
      </c>
      <c r="P334" s="12" t="s">
        <v>34</v>
      </c>
      <c r="Q334" s="16" t="s">
        <v>39</v>
      </c>
      <c r="R334" s="14" t="s">
        <v>40</v>
      </c>
      <c r="S334" s="12">
        <v>0</v>
      </c>
      <c r="T334" s="14" t="s">
        <v>367</v>
      </c>
      <c r="U334" s="14" t="s">
        <v>367</v>
      </c>
      <c r="V334" s="17" t="s">
        <v>1407</v>
      </c>
    </row>
    <row r="335" spans="1:22" ht="34.200000000000003" x14ac:dyDescent="0.3">
      <c r="A335" s="12">
        <v>303</v>
      </c>
      <c r="B335" s="13" t="s">
        <v>1408</v>
      </c>
      <c r="C335" s="12" t="s">
        <v>1375</v>
      </c>
      <c r="D335" s="12" t="s">
        <v>82</v>
      </c>
      <c r="E335" s="14" t="s">
        <v>1409</v>
      </c>
      <c r="F335" s="14" t="s">
        <v>1410</v>
      </c>
      <c r="G335" s="14" t="s">
        <v>278</v>
      </c>
      <c r="H335" s="14" t="s">
        <v>165</v>
      </c>
      <c r="I335" s="14" t="s">
        <v>58</v>
      </c>
      <c r="J335" s="12" t="s">
        <v>324</v>
      </c>
      <c r="K335" s="12" t="s">
        <v>60</v>
      </c>
      <c r="L335" s="22" t="s">
        <v>146</v>
      </c>
      <c r="M335" s="15" t="s">
        <v>37</v>
      </c>
      <c r="N335" s="14"/>
      <c r="O335" s="14" t="s">
        <v>583</v>
      </c>
      <c r="P335" s="12">
        <v>5</v>
      </c>
      <c r="Q335" s="19" t="s">
        <v>62</v>
      </c>
      <c r="R335" s="14" t="s">
        <v>1411</v>
      </c>
      <c r="S335" s="12">
        <v>15</v>
      </c>
      <c r="T335" s="14" t="s">
        <v>64</v>
      </c>
      <c r="U335" s="14" t="s">
        <v>1412</v>
      </c>
      <c r="V335" s="17" t="s">
        <v>1413</v>
      </c>
    </row>
    <row r="336" spans="1:22" ht="34.200000000000003" x14ac:dyDescent="0.3">
      <c r="A336" s="12">
        <v>304</v>
      </c>
      <c r="B336" s="13" t="s">
        <v>1414</v>
      </c>
      <c r="C336" s="12" t="s">
        <v>1375</v>
      </c>
      <c r="D336" s="12" t="s">
        <v>282</v>
      </c>
      <c r="E336" s="14" t="s">
        <v>1415</v>
      </c>
      <c r="F336" s="14" t="s">
        <v>1416</v>
      </c>
      <c r="G336" s="14" t="s">
        <v>57</v>
      </c>
      <c r="H336" s="14" t="s">
        <v>86</v>
      </c>
      <c r="I336" s="14" t="s">
        <v>58</v>
      </c>
      <c r="J336" s="12" t="s">
        <v>364</v>
      </c>
      <c r="K336" s="12" t="s">
        <v>60</v>
      </c>
      <c r="L336" s="18" t="s">
        <v>60</v>
      </c>
      <c r="M336" s="18" t="s">
        <v>60</v>
      </c>
      <c r="N336" s="14"/>
      <c r="O336" s="14" t="s">
        <v>259</v>
      </c>
      <c r="P336" s="12">
        <v>4</v>
      </c>
      <c r="Q336" s="19" t="s">
        <v>62</v>
      </c>
      <c r="R336" s="14" t="s">
        <v>1417</v>
      </c>
      <c r="S336" s="12">
        <v>10</v>
      </c>
      <c r="T336" s="14" t="s">
        <v>138</v>
      </c>
      <c r="U336" s="14" t="s">
        <v>1382</v>
      </c>
      <c r="V336" s="17" t="s">
        <v>1418</v>
      </c>
    </row>
    <row r="337" spans="1:22" x14ac:dyDescent="0.3">
      <c r="A337" s="12">
        <v>305</v>
      </c>
      <c r="B337" s="13" t="s">
        <v>1419</v>
      </c>
      <c r="C337" s="12" t="s">
        <v>1375</v>
      </c>
      <c r="D337" s="12" t="s">
        <v>657</v>
      </c>
      <c r="E337" s="14" t="s">
        <v>1420</v>
      </c>
      <c r="F337" s="14" t="s">
        <v>1421</v>
      </c>
      <c r="G337" s="14" t="s">
        <v>268</v>
      </c>
      <c r="H337" s="14" t="s">
        <v>268</v>
      </c>
      <c r="I337" s="14" t="s">
        <v>98</v>
      </c>
      <c r="J337" s="12" t="s">
        <v>159</v>
      </c>
      <c r="K337" s="12" t="s">
        <v>60</v>
      </c>
      <c r="L337" s="15" t="s">
        <v>37</v>
      </c>
      <c r="M337" s="15" t="s">
        <v>37</v>
      </c>
      <c r="N337" s="14"/>
      <c r="O337" s="14" t="s">
        <v>1422</v>
      </c>
      <c r="P337" s="12">
        <v>17</v>
      </c>
      <c r="Q337" s="23" t="s">
        <v>402</v>
      </c>
      <c r="R337" s="14" t="s">
        <v>40</v>
      </c>
      <c r="S337" s="12">
        <v>1</v>
      </c>
      <c r="T337" s="14" t="s">
        <v>41</v>
      </c>
      <c r="U337" s="14" t="s">
        <v>41</v>
      </c>
      <c r="V337" s="17" t="s">
        <v>1423</v>
      </c>
    </row>
    <row r="338" spans="1:22" ht="34.200000000000003" x14ac:dyDescent="0.3">
      <c r="A338" s="12">
        <v>306</v>
      </c>
      <c r="B338" s="13" t="s">
        <v>1424</v>
      </c>
      <c r="C338" s="12" t="s">
        <v>1375</v>
      </c>
      <c r="D338" s="12" t="s">
        <v>105</v>
      </c>
      <c r="E338" s="14" t="s">
        <v>1425</v>
      </c>
      <c r="F338" s="14" t="s">
        <v>1426</v>
      </c>
      <c r="G338" s="14" t="s">
        <v>268</v>
      </c>
      <c r="H338" s="14" t="s">
        <v>97</v>
      </c>
      <c r="I338" s="14" t="s">
        <v>58</v>
      </c>
      <c r="J338" s="12" t="s">
        <v>760</v>
      </c>
      <c r="K338" s="12" t="s">
        <v>60</v>
      </c>
      <c r="L338" s="15" t="s">
        <v>37</v>
      </c>
      <c r="M338" s="15" t="s">
        <v>37</v>
      </c>
      <c r="N338" s="14"/>
      <c r="O338" s="14" t="s">
        <v>486</v>
      </c>
      <c r="P338" s="12">
        <v>5</v>
      </c>
      <c r="Q338" s="19" t="s">
        <v>62</v>
      </c>
      <c r="R338" s="14" t="s">
        <v>1427</v>
      </c>
      <c r="S338" s="12">
        <v>31</v>
      </c>
      <c r="T338" s="14" t="s">
        <v>367</v>
      </c>
      <c r="U338" s="14" t="s">
        <v>1428</v>
      </c>
      <c r="V338" s="17" t="s">
        <v>1429</v>
      </c>
    </row>
    <row r="339" spans="1:22" ht="45.6" x14ac:dyDescent="0.3">
      <c r="A339" s="12">
        <v>307</v>
      </c>
      <c r="B339" s="13" t="s">
        <v>1430</v>
      </c>
      <c r="C339" s="12" t="s">
        <v>1375</v>
      </c>
      <c r="D339" s="12" t="s">
        <v>661</v>
      </c>
      <c r="E339" s="14" t="s">
        <v>1431</v>
      </c>
      <c r="F339" s="14" t="s">
        <v>663</v>
      </c>
      <c r="G339" s="14" t="s">
        <v>664</v>
      </c>
      <c r="H339" s="14" t="s">
        <v>97</v>
      </c>
      <c r="I339" s="14" t="s">
        <v>87</v>
      </c>
      <c r="J339" s="12" t="s">
        <v>574</v>
      </c>
      <c r="K339" s="12" t="s">
        <v>60</v>
      </c>
      <c r="L339" s="22" t="s">
        <v>146</v>
      </c>
      <c r="M339" s="22" t="s">
        <v>146</v>
      </c>
      <c r="N339" s="14"/>
      <c r="O339" s="14" t="s">
        <v>61</v>
      </c>
      <c r="P339" s="12">
        <v>3</v>
      </c>
      <c r="Q339" s="19" t="s">
        <v>62</v>
      </c>
      <c r="R339" s="14" t="s">
        <v>40</v>
      </c>
      <c r="S339" s="12">
        <v>37</v>
      </c>
      <c r="T339" s="14" t="s">
        <v>64</v>
      </c>
      <c r="U339" s="14" t="s">
        <v>1432</v>
      </c>
      <c r="V339" s="17" t="s">
        <v>1433</v>
      </c>
    </row>
    <row r="340" spans="1:22" ht="22.8" x14ac:dyDescent="0.3">
      <c r="A340" s="12">
        <v>308</v>
      </c>
      <c r="B340" s="13" t="s">
        <v>1434</v>
      </c>
      <c r="C340" s="12" t="s">
        <v>1375</v>
      </c>
      <c r="D340" s="12" t="s">
        <v>673</v>
      </c>
      <c r="E340" s="14" t="s">
        <v>1435</v>
      </c>
      <c r="F340" s="14" t="s">
        <v>1436</v>
      </c>
      <c r="G340" s="14" t="s">
        <v>57</v>
      </c>
      <c r="H340" s="14" t="s">
        <v>57</v>
      </c>
      <c r="I340" s="14" t="s">
        <v>212</v>
      </c>
      <c r="J340" s="12" t="s">
        <v>564</v>
      </c>
      <c r="K340" s="12" t="s">
        <v>60</v>
      </c>
      <c r="L340" s="15" t="s">
        <v>37</v>
      </c>
      <c r="M340" s="15" t="s">
        <v>37</v>
      </c>
      <c r="N340" s="14"/>
      <c r="O340" s="14" t="s">
        <v>153</v>
      </c>
      <c r="P340" s="12">
        <v>6</v>
      </c>
      <c r="Q340" s="21" t="s">
        <v>136</v>
      </c>
      <c r="R340" s="14" t="s">
        <v>40</v>
      </c>
      <c r="S340" s="12">
        <v>22</v>
      </c>
      <c r="T340" s="14" t="s">
        <v>311</v>
      </c>
      <c r="U340" s="14" t="s">
        <v>722</v>
      </c>
      <c r="V340" s="17" t="s">
        <v>1437</v>
      </c>
    </row>
    <row r="341" spans="1:22" ht="22.8" x14ac:dyDescent="0.3">
      <c r="A341" s="12">
        <v>309</v>
      </c>
      <c r="B341" s="13" t="s">
        <v>1438</v>
      </c>
      <c r="C341" s="12" t="s">
        <v>1375</v>
      </c>
      <c r="D341" s="12" t="s">
        <v>946</v>
      </c>
      <c r="E341" s="14" t="s">
        <v>1439</v>
      </c>
      <c r="F341" s="14" t="s">
        <v>873</v>
      </c>
      <c r="G341" s="14" t="s">
        <v>57</v>
      </c>
      <c r="H341" s="14" t="s">
        <v>86</v>
      </c>
      <c r="I341" s="14" t="s">
        <v>212</v>
      </c>
      <c r="J341" s="12" t="s">
        <v>258</v>
      </c>
      <c r="K341" s="12" t="s">
        <v>60</v>
      </c>
      <c r="L341" s="18" t="s">
        <v>60</v>
      </c>
      <c r="M341" s="18" t="s">
        <v>60</v>
      </c>
      <c r="N341" s="14"/>
      <c r="O341" s="14" t="s">
        <v>486</v>
      </c>
      <c r="P341" s="12">
        <v>5</v>
      </c>
      <c r="Q341" s="19" t="s">
        <v>62</v>
      </c>
      <c r="R341" s="14" t="s">
        <v>487</v>
      </c>
      <c r="S341" s="12">
        <v>31</v>
      </c>
      <c r="T341" s="14" t="s">
        <v>367</v>
      </c>
      <c r="U341" s="14" t="s">
        <v>368</v>
      </c>
      <c r="V341" s="17" t="s">
        <v>1440</v>
      </c>
    </row>
    <row r="342" spans="1:22" ht="34.200000000000003" x14ac:dyDescent="0.3">
      <c r="A342" s="12">
        <v>310</v>
      </c>
      <c r="B342" s="13" t="s">
        <v>1441</v>
      </c>
      <c r="C342" s="12" t="s">
        <v>1375</v>
      </c>
      <c r="D342" s="12" t="s">
        <v>321</v>
      </c>
      <c r="E342" s="14" t="s">
        <v>1442</v>
      </c>
      <c r="F342" s="14" t="s">
        <v>1443</v>
      </c>
      <c r="G342" s="14" t="s">
        <v>165</v>
      </c>
      <c r="H342" s="14" t="s">
        <v>165</v>
      </c>
      <c r="I342" s="14" t="s">
        <v>98</v>
      </c>
      <c r="J342" s="12" t="s">
        <v>240</v>
      </c>
      <c r="K342" s="12" t="s">
        <v>60</v>
      </c>
      <c r="L342" s="15" t="s">
        <v>37</v>
      </c>
      <c r="M342" s="15" t="s">
        <v>37</v>
      </c>
      <c r="N342" s="14"/>
      <c r="O342" s="14" t="s">
        <v>365</v>
      </c>
      <c r="P342" s="12">
        <v>7</v>
      </c>
      <c r="Q342" s="21" t="s">
        <v>136</v>
      </c>
      <c r="R342" s="14" t="s">
        <v>40</v>
      </c>
      <c r="S342" s="12">
        <v>14</v>
      </c>
      <c r="T342" s="14" t="s">
        <v>367</v>
      </c>
      <c r="U342" s="14" t="s">
        <v>458</v>
      </c>
      <c r="V342" s="17" t="s">
        <v>1444</v>
      </c>
    </row>
    <row r="343" spans="1:22" ht="22.8" x14ac:dyDescent="0.3">
      <c r="A343" s="12">
        <v>311</v>
      </c>
      <c r="B343" s="13" t="s">
        <v>1445</v>
      </c>
      <c r="C343" s="12" t="s">
        <v>1375</v>
      </c>
      <c r="D343" s="12" t="s">
        <v>115</v>
      </c>
      <c r="E343" s="14" t="s">
        <v>491</v>
      </c>
      <c r="F343" s="14" t="s">
        <v>492</v>
      </c>
      <c r="G343" s="14" t="s">
        <v>152</v>
      </c>
      <c r="H343" s="14" t="s">
        <v>86</v>
      </c>
      <c r="I343" s="14" t="s">
        <v>98</v>
      </c>
      <c r="J343" s="12" t="s">
        <v>383</v>
      </c>
      <c r="K343" s="12" t="s">
        <v>60</v>
      </c>
      <c r="L343" s="18" t="s">
        <v>60</v>
      </c>
      <c r="M343" s="18" t="s">
        <v>60</v>
      </c>
      <c r="N343" s="14"/>
      <c r="O343" s="14" t="s">
        <v>38</v>
      </c>
      <c r="P343" s="12" t="s">
        <v>34</v>
      </c>
      <c r="Q343" s="16" t="s">
        <v>39</v>
      </c>
      <c r="R343" s="14" t="s">
        <v>493</v>
      </c>
      <c r="S343" s="12">
        <v>0</v>
      </c>
      <c r="T343" s="14" t="s">
        <v>41</v>
      </c>
      <c r="U343" s="14" t="s">
        <v>41</v>
      </c>
      <c r="V343" s="17" t="s">
        <v>967</v>
      </c>
    </row>
    <row r="344" spans="1:22" x14ac:dyDescent="0.3">
      <c r="A344" s="12">
        <v>312</v>
      </c>
      <c r="B344" s="13" t="s">
        <v>1446</v>
      </c>
      <c r="C344" s="12" t="s">
        <v>1375</v>
      </c>
      <c r="D344" s="12" t="s">
        <v>1447</v>
      </c>
      <c r="E344" s="14" t="s">
        <v>1448</v>
      </c>
      <c r="F344" s="14" t="s">
        <v>1449</v>
      </c>
      <c r="G344" s="14" t="s">
        <v>57</v>
      </c>
      <c r="H344" s="14" t="s">
        <v>165</v>
      </c>
      <c r="I344" s="14" t="s">
        <v>58</v>
      </c>
      <c r="J344" s="12" t="s">
        <v>324</v>
      </c>
      <c r="K344" s="12" t="s">
        <v>60</v>
      </c>
      <c r="L344" s="15" t="s">
        <v>37</v>
      </c>
      <c r="M344" s="15" t="s">
        <v>37</v>
      </c>
      <c r="N344" s="14"/>
      <c r="O344" s="14" t="s">
        <v>38</v>
      </c>
      <c r="P344" s="12" t="s">
        <v>34</v>
      </c>
      <c r="Q344" s="16" t="s">
        <v>39</v>
      </c>
      <c r="R344" s="14" t="s">
        <v>919</v>
      </c>
      <c r="S344" s="12">
        <v>0</v>
      </c>
      <c r="T344" s="14" t="s">
        <v>41</v>
      </c>
      <c r="U344" s="14" t="s">
        <v>41</v>
      </c>
      <c r="V344" s="17" t="s">
        <v>1450</v>
      </c>
    </row>
    <row r="345" spans="1:22" ht="22.8" x14ac:dyDescent="0.3">
      <c r="A345" s="12">
        <v>313</v>
      </c>
      <c r="B345" s="13" t="s">
        <v>1451</v>
      </c>
      <c r="C345" s="12" t="s">
        <v>1375</v>
      </c>
      <c r="D345" s="12" t="s">
        <v>1347</v>
      </c>
      <c r="E345" s="14" t="s">
        <v>1452</v>
      </c>
      <c r="F345" s="14" t="s">
        <v>1453</v>
      </c>
      <c r="G345" s="14" t="s">
        <v>165</v>
      </c>
      <c r="H345" s="14" t="s">
        <v>268</v>
      </c>
      <c r="I345" s="14" t="s">
        <v>58</v>
      </c>
      <c r="J345" s="12" t="s">
        <v>862</v>
      </c>
      <c r="K345" s="12" t="s">
        <v>60</v>
      </c>
      <c r="L345" s="18" t="s">
        <v>60</v>
      </c>
      <c r="M345" s="22" t="s">
        <v>146</v>
      </c>
      <c r="N345" s="14"/>
      <c r="O345" s="14" t="s">
        <v>38</v>
      </c>
      <c r="P345" s="12" t="s">
        <v>34</v>
      </c>
      <c r="Q345" s="16" t="s">
        <v>39</v>
      </c>
      <c r="R345" s="14" t="s">
        <v>40</v>
      </c>
      <c r="S345" s="12">
        <v>0</v>
      </c>
      <c r="T345" s="14" t="s">
        <v>311</v>
      </c>
      <c r="U345" s="14" t="s">
        <v>311</v>
      </c>
      <c r="V345" s="17" t="s">
        <v>1454</v>
      </c>
    </row>
    <row r="346" spans="1:22" ht="34.200000000000003" x14ac:dyDescent="0.3">
      <c r="A346" s="12">
        <v>314</v>
      </c>
      <c r="B346" s="13" t="s">
        <v>1352</v>
      </c>
      <c r="C346" s="12" t="s">
        <v>1375</v>
      </c>
      <c r="D346" s="12" t="s">
        <v>1347</v>
      </c>
      <c r="E346" s="14" t="s">
        <v>1455</v>
      </c>
      <c r="F346" s="14" t="s">
        <v>1456</v>
      </c>
      <c r="G346" s="14" t="s">
        <v>165</v>
      </c>
      <c r="H346" s="14" t="s">
        <v>86</v>
      </c>
      <c r="I346" s="14" t="s">
        <v>87</v>
      </c>
      <c r="J346" s="12" t="s">
        <v>378</v>
      </c>
      <c r="K346" s="12" t="s">
        <v>60</v>
      </c>
      <c r="L346" s="15" t="s">
        <v>37</v>
      </c>
      <c r="M346" s="15" t="s">
        <v>37</v>
      </c>
      <c r="N346" s="14"/>
      <c r="O346" s="14" t="s">
        <v>245</v>
      </c>
      <c r="P346" s="12">
        <v>10</v>
      </c>
      <c r="Q346" s="21" t="s">
        <v>136</v>
      </c>
      <c r="R346" s="14" t="s">
        <v>227</v>
      </c>
      <c r="S346" s="12">
        <v>2</v>
      </c>
      <c r="T346" s="14" t="s">
        <v>138</v>
      </c>
      <c r="U346" s="14" t="s">
        <v>1082</v>
      </c>
      <c r="V346" s="17" t="s">
        <v>1351</v>
      </c>
    </row>
    <row r="347" spans="1:22" ht="34.200000000000003" x14ac:dyDescent="0.3">
      <c r="A347" s="12">
        <v>315</v>
      </c>
      <c r="B347" s="13" t="s">
        <v>1457</v>
      </c>
      <c r="C347" s="12" t="s">
        <v>1375</v>
      </c>
      <c r="D347" s="12" t="s">
        <v>360</v>
      </c>
      <c r="E347" s="14" t="s">
        <v>1458</v>
      </c>
      <c r="F347" s="14" t="s">
        <v>1459</v>
      </c>
      <c r="G347" s="14" t="s">
        <v>165</v>
      </c>
      <c r="H347" s="14" t="s">
        <v>97</v>
      </c>
      <c r="I347" s="14" t="s">
        <v>58</v>
      </c>
      <c r="J347" s="12" t="s">
        <v>1460</v>
      </c>
      <c r="K347" s="12" t="s">
        <v>60</v>
      </c>
      <c r="L347" s="15" t="s">
        <v>37</v>
      </c>
      <c r="M347" s="15" t="s">
        <v>37</v>
      </c>
      <c r="N347" s="14"/>
      <c r="O347" s="14" t="s">
        <v>1228</v>
      </c>
      <c r="P347" s="12">
        <v>5</v>
      </c>
      <c r="Q347" s="19" t="s">
        <v>62</v>
      </c>
      <c r="R347" s="14" t="s">
        <v>976</v>
      </c>
      <c r="S347" s="12">
        <v>0</v>
      </c>
      <c r="T347" s="14" t="s">
        <v>64</v>
      </c>
      <c r="U347" s="14" t="s">
        <v>1461</v>
      </c>
      <c r="V347" s="17" t="s">
        <v>1462</v>
      </c>
    </row>
    <row r="348" spans="1:22" ht="22.8" x14ac:dyDescent="0.3">
      <c r="A348" s="12">
        <v>316</v>
      </c>
      <c r="B348" s="13" t="s">
        <v>1463</v>
      </c>
      <c r="C348" s="12" t="s">
        <v>1375</v>
      </c>
      <c r="D348" s="12" t="s">
        <v>122</v>
      </c>
      <c r="E348" s="14" t="s">
        <v>1464</v>
      </c>
      <c r="F348" s="14" t="s">
        <v>1465</v>
      </c>
      <c r="G348" s="14" t="s">
        <v>57</v>
      </c>
      <c r="H348" s="14" t="s">
        <v>97</v>
      </c>
      <c r="I348" s="14" t="s">
        <v>58</v>
      </c>
      <c r="J348" s="12" t="s">
        <v>59</v>
      </c>
      <c r="K348" s="12" t="s">
        <v>60</v>
      </c>
      <c r="L348" s="15" t="s">
        <v>37</v>
      </c>
      <c r="M348" s="15" t="s">
        <v>37</v>
      </c>
      <c r="N348" s="14"/>
      <c r="O348" s="14" t="s">
        <v>1466</v>
      </c>
      <c r="P348" s="12">
        <v>15</v>
      </c>
      <c r="Q348" s="20" t="s">
        <v>101</v>
      </c>
      <c r="R348" s="14" t="s">
        <v>40</v>
      </c>
      <c r="S348" s="12">
        <v>5</v>
      </c>
      <c r="T348" s="14" t="s">
        <v>138</v>
      </c>
      <c r="U348" s="14" t="s">
        <v>971</v>
      </c>
      <c r="V348" s="17" t="s">
        <v>1467</v>
      </c>
    </row>
    <row r="349" spans="1:22" ht="34.200000000000003" x14ac:dyDescent="0.3">
      <c r="A349" s="12">
        <v>317</v>
      </c>
      <c r="B349" s="13" t="s">
        <v>1468</v>
      </c>
      <c r="C349" s="12" t="s">
        <v>1375</v>
      </c>
      <c r="D349" s="12" t="s">
        <v>124</v>
      </c>
      <c r="E349" s="14" t="s">
        <v>1469</v>
      </c>
      <c r="F349" s="14" t="s">
        <v>1470</v>
      </c>
      <c r="G349" s="14" t="s">
        <v>165</v>
      </c>
      <c r="H349" s="14" t="s">
        <v>97</v>
      </c>
      <c r="I349" s="14" t="s">
        <v>87</v>
      </c>
      <c r="J349" s="12" t="s">
        <v>269</v>
      </c>
      <c r="K349" s="12" t="s">
        <v>60</v>
      </c>
      <c r="L349" s="15" t="s">
        <v>37</v>
      </c>
      <c r="M349" s="15" t="s">
        <v>37</v>
      </c>
      <c r="N349" s="14"/>
      <c r="O349" s="14" t="s">
        <v>932</v>
      </c>
      <c r="P349" s="12">
        <v>12</v>
      </c>
      <c r="Q349" s="20" t="s">
        <v>101</v>
      </c>
      <c r="R349" s="14" t="s">
        <v>1105</v>
      </c>
      <c r="S349" s="12">
        <v>0</v>
      </c>
      <c r="T349" s="14" t="s">
        <v>64</v>
      </c>
      <c r="U349" s="14" t="s">
        <v>1471</v>
      </c>
      <c r="V349" s="17" t="s">
        <v>1472</v>
      </c>
    </row>
    <row r="350" spans="1:22" x14ac:dyDescent="0.3">
      <c r="A350" s="12">
        <v>318</v>
      </c>
      <c r="B350" s="13" t="s">
        <v>1473</v>
      </c>
      <c r="C350" s="12" t="s">
        <v>1375</v>
      </c>
      <c r="D350" s="12" t="s">
        <v>124</v>
      </c>
      <c r="E350" s="14" t="s">
        <v>1474</v>
      </c>
      <c r="F350" s="14" t="s">
        <v>413</v>
      </c>
      <c r="G350" s="14" t="s">
        <v>57</v>
      </c>
      <c r="H350" s="14" t="s">
        <v>86</v>
      </c>
      <c r="I350" s="14" t="s">
        <v>87</v>
      </c>
      <c r="J350" s="12" t="s">
        <v>633</v>
      </c>
      <c r="K350" s="12" t="s">
        <v>60</v>
      </c>
      <c r="L350" s="18" t="s">
        <v>60</v>
      </c>
      <c r="M350" s="18" t="s">
        <v>60</v>
      </c>
      <c r="N350" s="14"/>
      <c r="O350" s="14" t="s">
        <v>199</v>
      </c>
      <c r="P350" s="12">
        <v>6</v>
      </c>
      <c r="Q350" s="21" t="s">
        <v>136</v>
      </c>
      <c r="R350" s="14" t="s">
        <v>40</v>
      </c>
      <c r="S350" s="12">
        <v>14</v>
      </c>
      <c r="T350" s="14" t="s">
        <v>41</v>
      </c>
      <c r="U350" s="14" t="s">
        <v>41</v>
      </c>
      <c r="V350" s="17" t="s">
        <v>1475</v>
      </c>
    </row>
  </sheetData>
  <mergeCells count="6">
    <mergeCell ref="T4:V4"/>
    <mergeCell ref="A4:D4"/>
    <mergeCell ref="E4:H4"/>
    <mergeCell ref="I4:K4"/>
    <mergeCell ref="L4:N4"/>
    <mergeCell ref="O4:S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showGridLines="0" zoomScaleNormal="100" workbookViewId="0"/>
  </sheetViews>
  <sheetFormatPr defaultColWidth="8.6640625" defaultRowHeight="14.4" x14ac:dyDescent="0.3"/>
  <cols>
    <col min="1" max="1" width="130" customWidth="1"/>
  </cols>
  <sheetData>
    <row r="1" spans="1:1" ht="16.8" x14ac:dyDescent="0.3">
      <c r="A1" s="29" t="s">
        <v>1486</v>
      </c>
    </row>
    <row r="2" spans="1:1" x14ac:dyDescent="0.3">
      <c r="A2" s="30" t="s">
        <v>1487</v>
      </c>
    </row>
    <row r="3" spans="1:1" ht="52.8" x14ac:dyDescent="0.3">
      <c r="A3" s="30" t="s">
        <v>1488</v>
      </c>
    </row>
    <row r="4" spans="1:1" ht="26.4" x14ac:dyDescent="0.3">
      <c r="A4" s="30" t="s">
        <v>1489</v>
      </c>
    </row>
    <row r="5" spans="1:1" ht="39.6" x14ac:dyDescent="0.3">
      <c r="A5" s="30" t="s">
        <v>1490</v>
      </c>
    </row>
    <row r="6" spans="1:1" ht="26.4" x14ac:dyDescent="0.3">
      <c r="A6" s="30" t="s">
        <v>1491</v>
      </c>
    </row>
    <row r="7" spans="1:1" x14ac:dyDescent="0.3">
      <c r="A7" s="30" t="s">
        <v>1492</v>
      </c>
    </row>
    <row r="8" spans="1:1" ht="26.4" x14ac:dyDescent="0.3">
      <c r="A8" s="30" t="s">
        <v>1493</v>
      </c>
    </row>
    <row r="9" spans="1:1" ht="26.4" x14ac:dyDescent="0.3">
      <c r="A9" s="30" t="s">
        <v>1494</v>
      </c>
    </row>
    <row r="10" spans="1:1" ht="26.4" x14ac:dyDescent="0.3">
      <c r="A10" s="30" t="s">
        <v>1495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Applicant Insights</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Ravi Radhakrishnan</cp:lastModifiedBy>
  <cp:revision>0</cp:revision>
  <dcterms:created xsi:type="dcterms:W3CDTF">2026-09-29T05:49:36Z</dcterms:created>
  <dcterms:modified xsi:type="dcterms:W3CDTF">2026-10-01T05:30:52Z</dcterms:modified>
  <dc:language>en-US</dc:language>
</cp:coreProperties>
</file>